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jpeg" ContentType="image/jpeg"/>
  <Override PartName="/xl/media/image2.jpeg" ContentType="image/jpe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About" sheetId="1" state="visible" r:id="rId2"/>
    <sheet name="Guidelines" sheetId="2" state="visible" r:id="rId3"/>
    <sheet name="Metadata" sheetId="3" state="visible" r:id="rId4"/>
    <sheet name="ProxyList" sheetId="4" state="hidden" r:id="rId5"/>
    <sheet name="paleo1measurementTable1" sheetId="5" state="visible" r:id="rId6"/>
    <sheet name="chron1measurementTable1" sheetId="6" state="visible" r:id="rId7"/>
    <sheet name="Lists" sheetId="7" state="visible" r:id="rId8"/>
  </sheets>
  <definedNames>
    <definedName function="false" hidden="false" name="archiveType" vbProcedure="false">Lists!$A$1:$A$12</definedName>
    <definedName function="false" hidden="false" name="ChronVariableName" vbProcedure="false">chron1measurementTable1!$A$5:$A$8</definedName>
    <definedName function="false" hidden="false" name="InferredVariable" vbProcedure="false">Lists!$E$1:$E$38</definedName>
    <definedName function="false" hidden="false" name="interpDirection" vbProcedure="false">Lists!$G$1:$G$2</definedName>
    <definedName function="false" hidden="false" name="interpScope" vbProcedure="false">Lists!$H$1:$H$4</definedName>
    <definedName function="false" hidden="false" name="isLocal" vbProcedure="false">Lists!$F$1:$F$2</definedName>
    <definedName function="false" hidden="false" name="ProxyObservation" vbProcedure="false">Lists!$C$1:$C$49</definedName>
    <definedName function="false" hidden="false" name="ProxySensor" vbProcedure="false">Lists!$D$1:$D$16</definedName>
    <definedName function="false" hidden="false" name="variableName" vbProcedure="false">paleo1measurementTable1!$A$5:$A$13</definedName>
    <definedName function="false" hidden="false" name="variableType" vbProcedure="false">Lists!$B$1:$B$2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<sst xmlns="http://schemas.openxmlformats.org/spreadsheetml/2006/main" count="738" uniqueCount="526">
  <si>
    <t xml:space="preserve">What is LiPD?</t>
  </si>
  <si>
    <t xml:space="preserve">LiPD (Linked Paleo Data) is a convenient way to store and exchange paleoclimate data format and provides</t>
  </si>
  <si>
    <t xml:space="preserve">the backbone of the LinkedEarth edifice. LiPD is closely aligned with the LinkedEarth ontology;</t>
  </si>
  <si>
    <t xml:space="preserve">changes in one are often reflected in the other.</t>
  </si>
  <si>
    <t xml:space="preserve">For more information, visit: </t>
  </si>
  <si>
    <t xml:space="preserve">http://wiki.linked.earth/Linked_Paleo_Data</t>
  </si>
  <si>
    <t xml:space="preserve">How to read a LiPD file?</t>
  </si>
  <si>
    <t xml:space="preserve">LiPD was designed so that it can capture much richer sets of (meta)data than ASCII or Excel files, and to</t>
  </si>
  <si>
    <t xml:space="preserve">have a fixed backbone around which scientific codes can be built. There is a price to pay for this power:</t>
  </si>
  <si>
    <t xml:space="preserve">LiPD is undoubtedly more difficult to interact with than a plain text file. Although it is possible to unzip</t>
  </si>
  <si>
    <t xml:space="preserve">a LiPD file and navigate through the native JSON-LD and  csv files, this is  not the best way to harness the</t>
  </si>
  <si>
    <t xml:space="preserve">power of LiPD files.</t>
  </si>
  <si>
    <t xml:space="preserve">The easiest way to interact with a LiPD file is through the LinkedEarth wiki, which allows you to navigate</t>
  </si>
  <si>
    <t xml:space="preserve">the hierarchical structure of the file easily. </t>
  </si>
  <si>
    <t xml:space="preserve">http://wiki.linked.earth</t>
  </si>
  <si>
    <t xml:space="preserve">In addition, we have developped several utilities to read and write LiPD files in Matlab, Python, and R.</t>
  </si>
  <si>
    <t xml:space="preserve">http://wiki.linked.earth/LiPD_Utilities</t>
  </si>
  <si>
    <t xml:space="preserve">What can I do with a LiPD file?</t>
  </si>
  <si>
    <t xml:space="preserve">LiPD was designed to facilitate coding around paleoclimate data. We have already developped software</t>
  </si>
  <si>
    <t xml:space="preserve">in R and Python to analyze and visualize paleoclimate data.</t>
  </si>
  <si>
    <t xml:space="preserve">For GeochronR (R package), see here:</t>
  </si>
  <si>
    <t xml:space="preserve">http://wiki.linked.earth/GeoChronR</t>
  </si>
  <si>
    <t xml:space="preserve">For Pyleoclim (Python package), see here:</t>
  </si>
  <si>
    <t xml:space="preserve">http://wiki.linked.earth/Pyleoclim</t>
  </si>
  <si>
    <t xml:space="preserve">In addition, CSciBox (an integrated software system for age-model construction) makes use of LiPD.</t>
  </si>
  <si>
    <t xml:space="preserve">For information about CSciBox, see here: </t>
  </si>
  <si>
    <t xml:space="preserve">https://www.cs.colorado.edu/~lizb/cscience.html</t>
  </si>
  <si>
    <t xml:space="preserve">How do I get my data into LiPD?</t>
  </si>
  <si>
    <t xml:space="preserve">As of April 2017, the most efficient way to get your paleoclimate dataset in LiPD format is to fill out this Excel</t>
  </si>
  <si>
    <t xml:space="preserve">template and use the Python LiPD utilities to convert the template into a LiPD file.</t>
  </si>
  <si>
    <t xml:space="preserve">Detailed instructions are provided on the tab "Guidelines" and on YouTube</t>
  </si>
  <si>
    <t xml:space="preserve">Link to YouTube video:</t>
  </si>
  <si>
    <t xml:space="preserve">https://youtu.be/b4CD_uPJbPs</t>
  </si>
  <si>
    <t xml:space="preserve">By the end of 2017, a web-based interface should be able to automate a lot of the manual steps. </t>
  </si>
  <si>
    <t xml:space="preserve">Stay tuned for news @Linked_Earth!</t>
  </si>
  <si>
    <t xml:space="preserve">LiPD version: This template is compatible with version 1.2</t>
  </si>
  <si>
    <t xml:space="preserve">General guidelines</t>
  </si>
  <si>
    <t xml:space="preserve">Complete guidelines can be found here:</t>
  </si>
  <si>
    <t xml:space="preserve">http://wiki.linked.earth/Creating_a_LiPD_file</t>
  </si>
  <si>
    <t xml:space="preserve">Because the wiki is meant for collaborative writing, other researchers may add guidelines to the page </t>
  </si>
  <si>
    <t xml:space="preserve">that will help you with your own data. Therefore, we encourage you to check the wiki for more</t>
  </si>
  <si>
    <t xml:space="preserve">complete guidelines.</t>
  </si>
  <si>
    <t xml:space="preserve">What constitutes a LiPD file?</t>
  </si>
  <si>
    <t xml:space="preserve">At its most fundamental level, all the data and metadata that are part of the same study should be placed</t>
  </si>
  <si>
    <t xml:space="preserve">in the same LiPD file. There are exceptions to this rule of thumb. For instance, if the study involves two </t>
  </si>
  <si>
    <t xml:space="preserve">physical samples in drastically different locations (i.e. different regimes), then each physical sample and</t>
  </si>
  <si>
    <t xml:space="preserve">associated data and metadata should be placed in separate LiPD files. In other words, if the data from each</t>
  </si>
  <si>
    <t xml:space="preserve">specific physical sample can be reused on their own in another study, then each should be placed in</t>
  </si>
  <si>
    <t xml:space="preserve">its own LiPD file. See examples below for some basic rules about this guideline.</t>
  </si>
  <si>
    <t xml:space="preserve">Examples:</t>
  </si>
  <si>
    <t xml:space="preserve">All data and metadata should be in the same file for the following studies:</t>
  </si>
  <si>
    <t xml:space="preserve">- Lake cores from the same lake</t>
  </si>
  <si>
    <t xml:space="preserve">- Spelothems from the same cave</t>
  </si>
  <si>
    <t xml:space="preserve">- Ice cores from the same hole</t>
  </si>
  <si>
    <t xml:space="preserve">- Marine sediments from the same hole (IODP), same location (multi-core, piston core/gravity cores)</t>
  </si>
  <si>
    <t xml:space="preserve">- Corals from the same head</t>
  </si>
  <si>
    <t xml:space="preserve">- Trees from the same geographical region (for instance used in a chronology)</t>
  </si>
  <si>
    <t xml:space="preserve">- Lake cores from different lakes but with the same climate interpretation. For instance, a regional composite</t>
  </si>
  <si>
    <t xml:space="preserve">- Speleothems from different caves with the same climatology</t>
  </si>
  <si>
    <t xml:space="preserve">Data and metadata should be in different files for the following studies:</t>
  </si>
  <si>
    <t xml:space="preserve">- Speleothems from different caves in different monsoon regimes</t>
  </si>
  <si>
    <t xml:space="preserve">- Lake cores from different lakes with different catchment basin</t>
  </si>
  <si>
    <t xml:space="preserve">- Marine sediments with different oceanographic regimes</t>
  </si>
  <si>
    <t xml:space="preserve">- Corals from different islands.</t>
  </si>
  <si>
    <t xml:space="preserve">What constitutes a measurementTable?</t>
  </si>
  <si>
    <t xml:space="preserve">Simply put, one table/Physical Sample. So if a study uses two speleothems, the measurements for each sample</t>
  </si>
  <si>
    <t xml:space="preserve">should be reported in two different tables.</t>
  </si>
  <si>
    <t xml:space="preserve">A good rule of thumb is to ask: How is the data going to be reused? For instance, if radiocarbon chronologies </t>
  </si>
  <si>
    <t xml:space="preserve">for different cores are meant to be independent of each other, then each physical sample should get their</t>
  </si>
  <si>
    <t xml:space="preserve">own ChronMeasurementTable.  On the other hand, if a composite depth is used, then the measurements</t>
  </si>
  <si>
    <t xml:space="preserve">for each physical sample can be placed in the same table. </t>
  </si>
  <si>
    <t xml:space="preserve">How to fill the template</t>
  </si>
  <si>
    <t xml:space="preserve">Rename the template according to the DataSetName (i.e, siteName.firstAuthor.year)</t>
  </si>
  <si>
    <t xml:space="preserve">The template has three sheets: Metadata, paleo1measurementTable1, chron1measurementTable1</t>
  </si>
  <si>
    <t xml:space="preserve">There should only be one Metadata sheet/dataset!</t>
  </si>
  <si>
    <t xml:space="preserve">If you need additional measurementTables, create new sheets by copying paleo1measurementTable1 and </t>
  </si>
  <si>
    <t xml:space="preserve">name them paleo1measurementTable2, paleo1measurementTable3, …. Or chron1measurementTable1, </t>
  </si>
  <si>
    <t xml:space="preserve">chron1measurementTable2,…</t>
  </si>
  <si>
    <r>
      <rPr>
        <sz val="11"/>
        <color rgb="FF000000"/>
        <rFont val="Calibri"/>
        <family val="2"/>
        <charset val="1"/>
      </rPr>
      <t xml:space="preserve">All the fields </t>
    </r>
    <r>
      <rPr>
        <sz val="11"/>
        <color rgb="FFFF0000"/>
        <rFont val="Calibri (Body)"/>
        <family val="0"/>
        <charset val="1"/>
      </rPr>
      <t xml:space="preserve">in red</t>
    </r>
    <r>
      <rPr>
        <sz val="11"/>
        <color rgb="FF000000"/>
        <rFont val="Calibri"/>
        <family val="2"/>
        <charset val="1"/>
      </rPr>
      <t xml:space="preserve"> are mandatory for a LiPD file to be valid. If you're unsure how to answer a question</t>
    </r>
  </si>
  <si>
    <r>
      <rPr>
        <sz val="11"/>
        <color rgb="FF000000"/>
        <rFont val="Calibri"/>
        <family val="2"/>
        <charset val="1"/>
      </rPr>
      <t xml:space="preserve">click on the header and/or cell and a </t>
    </r>
    <r>
      <rPr>
        <sz val="11"/>
        <color rgb="FFFFC000"/>
        <rFont val="Calibri (Body)"/>
        <family val="0"/>
        <charset val="1"/>
      </rPr>
      <t xml:space="preserve">yellow pop-up </t>
    </r>
    <r>
      <rPr>
        <sz val="11"/>
        <color rgb="FF000000"/>
        <rFont val="Calibri"/>
        <family val="2"/>
        <charset val="1"/>
      </rPr>
      <t xml:space="preserve">will appear with directions. All the terms used in this template have</t>
    </r>
  </si>
  <si>
    <t xml:space="preserve">formal definitions that can be found on the LinkedEarth wiki.</t>
  </si>
  <si>
    <t xml:space="preserve">Drop-down menu options:</t>
  </si>
  <si>
    <t xml:space="preserve">1. You may be required to choose something already on the list (e.g., variableType)</t>
  </si>
  <si>
    <t xml:space="preserve">2. In some instances, you can add your answer if it doesn't have an option (e.g., a new type of proxy observation)</t>
  </si>
  <si>
    <t xml:space="preserve">If a dataset only contains inferred variable:</t>
  </si>
  <si>
    <r>
      <rPr>
        <sz val="11"/>
        <color rgb="FF000000"/>
        <rFont val="Calibri"/>
        <family val="2"/>
        <charset val="1"/>
      </rPr>
      <t xml:space="preserve">To make the data reusable by the community, we </t>
    </r>
    <r>
      <rPr>
        <b val="true"/>
        <sz val="11"/>
        <color rgb="FF000000"/>
        <rFont val="Calibri"/>
        <family val="2"/>
        <charset val="1"/>
      </rPr>
      <t xml:space="preserve">strongly</t>
    </r>
    <r>
      <rPr>
        <b val="true"/>
        <i val="true"/>
        <sz val="11"/>
        <color rgb="FF000000"/>
        <rFont val="Calibri"/>
        <family val="0"/>
        <charset val="1"/>
      </rPr>
      <t xml:space="preserve"> </t>
    </r>
    <r>
      <rPr>
        <sz val="11"/>
        <color rgb="FF000000"/>
        <rFont val="Calibri"/>
        <family val="2"/>
        <charset val="1"/>
      </rPr>
      <t xml:space="preserve">encourage you to enter your raw measurements</t>
    </r>
  </si>
  <si>
    <t xml:space="preserve">(the MeasuredVariable) along with its interpretation (the InferredVariable). However, we are aware that</t>
  </si>
  <si>
    <t xml:space="preserve">this may not always be possible. For instance, when transforming a legacy dataset into LiPD format, the</t>
  </si>
  <si>
    <t xml:space="preserve">raw measurements may not be readily available. However, the LinkedEarth wiki (and LiPD) requires an </t>
  </si>
  <si>
    <t xml:space="preserve">ArchiveType (i.e., marine sediment). On the wiki, the type of archive is only accessible through a </t>
  </si>
  <si>
    <t xml:space="preserve">MeasuredVariable. Therefore, one needs to create the variable (a dummy one with no values if necessary) on the </t>
  </si>
  <si>
    <t xml:space="preserve">wiki.</t>
  </si>
  <si>
    <t xml:space="preserve">Let's use a practical example. If the dataset you're working with only contains sea surface temperature</t>
  </si>
  <si>
    <t xml:space="preserve">values and not the associated Sr/Ca data that the temperature is derived from, then create another column</t>
  </si>
  <si>
    <t xml:space="preserve">filled with the missing value flag for the datasets, using the Sr/Ca header. In the metadata section, only </t>
  </si>
  <si>
    <t xml:space="preserve">fill out the name, variableType, and ProxyObservationType for the variable (in this case, Sr/Ca).</t>
  </si>
  <si>
    <t xml:space="preserve">Data Values:</t>
  </si>
  <si>
    <t xml:space="preserve">The data should be organized in columns and entered under the field called "Data".</t>
  </si>
  <si>
    <t xml:space="preserve">Copy and paste the data columns. The headers will automatically be entered in the metadata field </t>
  </si>
  <si>
    <t xml:space="preserve">under variable name.</t>
  </si>
  <si>
    <t xml:space="preserve">The headers and variable name need to match!</t>
  </si>
  <si>
    <t xml:space="preserve">The metadata for each column (i.e. variable) should be entered in the top portion of the template.</t>
  </si>
  <si>
    <t xml:space="preserve">In the instance where more than one answer can be available, enter the second answer at the end of the table. </t>
  </si>
  <si>
    <t xml:space="preserve">For instance, d18O of corals can be interpreted both in terms of temperature and seawater d18O.</t>
  </si>
  <si>
    <t xml:space="preserve">Temperature can be entered under Interpretation1_variable. To add a second interpretation, add a column </t>
  </si>
  <si>
    <t xml:space="preserve">with the heading Interpretation2_variable.</t>
  </si>
  <si>
    <t xml:space="preserve">If your table contains more than 14 columns, you can insert the corresponding lines for the metadata. </t>
  </si>
  <si>
    <t xml:space="preserve">Make sure you copy and paste the formulas from the previous lines!</t>
  </si>
  <si>
    <t xml:space="preserve">If you table contains less than 14 variables, delete the additional headers by using clear contents. </t>
  </si>
  <si>
    <t xml:space="preserve">DO NOT DELETE THE ADDITIONAL LINES IN THE METADATA SECTION!</t>
  </si>
  <si>
    <t xml:space="preserve">Fill in as many fields of this template as possible. Future generations of reseachers will thank you!</t>
  </si>
  <si>
    <t xml:space="preserve">Detailed instructions on how to fill this template are available on the wiki:</t>
  </si>
  <si>
    <t xml:space="preserve">http://wiki.linked.earth/Creating_a_LiPD_file#Step-by-step_Instructions</t>
  </si>
  <si>
    <t xml:space="preserve">Converting to LiPD</t>
  </si>
  <si>
    <t xml:space="preserve">As of now, the conversion to a LiPD file needs to be done in Python (a free, open-source computing language).</t>
  </si>
  <si>
    <t xml:space="preserve">To install the Python LiPD utilities</t>
  </si>
  <si>
    <r>
      <rPr>
        <sz val="11"/>
        <color rgb="FF000000"/>
        <rFont val="Calibri"/>
        <family val="2"/>
        <charset val="1"/>
      </rPr>
      <t xml:space="preserve">In a terminal window, type </t>
    </r>
    <r>
      <rPr>
        <sz val="11"/>
        <color rgb="FF000000"/>
        <rFont val="Courier New"/>
        <family val="0"/>
        <charset val="1"/>
      </rPr>
      <t xml:space="preserve">pip install lipd</t>
    </r>
  </si>
  <si>
    <r>
      <rPr>
        <sz val="11"/>
        <color rgb="FF000000"/>
        <rFont val="Calibri"/>
        <family val="2"/>
        <charset val="1"/>
      </rPr>
      <t xml:space="preserve">For </t>
    </r>
    <r>
      <rPr>
        <b val="true"/>
        <sz val="11"/>
        <color rgb="FF000000"/>
        <rFont val="Calibri"/>
        <family val="2"/>
        <charset val="1"/>
      </rPr>
      <t xml:space="preserve">Python 3.6 users</t>
    </r>
    <r>
      <rPr>
        <sz val="11"/>
        <color rgb="FF000000"/>
        <rFont val="Calibri"/>
        <family val="2"/>
        <charset val="1"/>
      </rPr>
      <t xml:space="preserve">, if the pip command fails, enter:</t>
    </r>
  </si>
  <si>
    <t xml:space="preserve">pip3 install --egg lipd</t>
  </si>
  <si>
    <t xml:space="preserve">More information: </t>
  </si>
  <si>
    <t xml:space="preserve">https://nickmckay.github.io/LiPD-utilities/</t>
  </si>
  <si>
    <t xml:space="preserve">Running the utilities:</t>
  </si>
  <si>
    <t xml:space="preserve">Open your favorite Python interface and type</t>
  </si>
  <si>
    <t xml:space="preserve">import lipd</t>
  </si>
  <si>
    <t xml:space="preserve">This will import the package</t>
  </si>
  <si>
    <t xml:space="preserve">lipd.readExcel()</t>
  </si>
  <si>
    <t xml:space="preserve">This will trigger a GUI to navigate to the Excel file. If you know the path</t>
  </si>
  <si>
    <t xml:space="preserve">you can enter it directly in the parenthesis (using quotes)</t>
  </si>
  <si>
    <t xml:space="preserve">D = lipd.excel()</t>
  </si>
  <si>
    <t xml:space="preserve">This will create your LiPD file! The LiPD file saves to your computer, and also loads into the workspace. </t>
  </si>
  <si>
    <t xml:space="preserve">lipd.validate(D)</t>
  </si>
  <si>
    <t xml:space="preserve">This step validates your LiPD file, making sure that the require properties are set properly </t>
  </si>
  <si>
    <t xml:space="preserve">You can also use the online validator for the last task:</t>
  </si>
  <si>
    <t xml:space="preserve">http://lipd.net/validator</t>
  </si>
  <si>
    <t xml:space="preserve">Uploading to the wiki</t>
  </si>
  <si>
    <t xml:space="preserve">Once the LiPD file is generated, you can upload it directly on the wiki at: </t>
  </si>
  <si>
    <t xml:space="preserve">http://wiki.linked.earth/Special:WTLiPD</t>
  </si>
  <si>
    <t xml:space="preserve">The pages will be created automatically for you. If you need to change pieces of metadata you can do so </t>
  </si>
  <si>
    <t xml:space="preserve">directly on the wiki.</t>
  </si>
  <si>
    <t xml:space="preserve">If you need to make changes to the .csv file, download the corresponding file on your computer, make your</t>
  </si>
  <si>
    <t xml:space="preserve">changes and re-upload the file.</t>
  </si>
  <si>
    <t xml:space="preserve">Directions on how to fill this template and upload your file to the wiki are available on YouTube </t>
  </si>
  <si>
    <t xml:space="preserve">Dataset Name (siteName.firstAuthor.year)</t>
  </si>
  <si>
    <t xml:space="preserve">TT3.FrugoneAlvarez.2022</t>
  </si>
  <si>
    <t xml:space="preserve">Archive Type</t>
  </si>
  <si>
    <t xml:space="preserve">lake sediment</t>
  </si>
  <si>
    <t xml:space="preserve">Original Source_URL (if applicable)</t>
  </si>
  <si>
    <t xml:space="preserve">Investigators (Lastname, first; lastname2, first2)</t>
  </si>
  <si>
    <t xml:space="preserve">Frugone-Álvarez, M.</t>
  </si>
  <si>
    <t xml:space="preserve">Publication Section</t>
  </si>
  <si>
    <t xml:space="preserve">Ref #1 </t>
  </si>
  <si>
    <t xml:space="preserve">Ref #2</t>
  </si>
  <si>
    <t xml:space="preserve">Authors (last, first; last2, first2; separate with semi-colons)</t>
  </si>
  <si>
    <t xml:space="preserve">Frugone-Álvarez</t>
  </si>
  <si>
    <t xml:space="preserve">Publication title</t>
  </si>
  <si>
    <t xml:space="preserve">The Pleistocene-Holocene Transition in Tagua-Tagua, central Chile</t>
  </si>
  <si>
    <t xml:space="preserve">Journal</t>
  </si>
  <si>
    <t xml:space="preserve">QSR</t>
  </si>
  <si>
    <t xml:space="preserve">Year</t>
  </si>
  <si>
    <t xml:space="preserve">Volume</t>
  </si>
  <si>
    <t xml:space="preserve">Issue</t>
  </si>
  <si>
    <t xml:space="preserve">Pages</t>
  </si>
  <si>
    <t xml:space="preserve">Report Number</t>
  </si>
  <si>
    <t xml:space="preserve">DOI</t>
  </si>
  <si>
    <t xml:space="preserve">Abstract</t>
  </si>
  <si>
    <t xml:space="preserve">Alternate citation in paragraph format (For books, theses, etc. that don't fit well in above fields)</t>
  </si>
  <si>
    <t xml:space="preserve">Site Information</t>
  </si>
  <si>
    <t xml:space="preserve"> Use appropriate significant digits for all values</t>
  </si>
  <si>
    <t xml:space="preserve">Northernmost latitude (decimal degree, South negative, WGS84)</t>
  </si>
  <si>
    <t xml:space="preserve">Southernmost latitude (decimal degree, South negative, WGS84)</t>
  </si>
  <si>
    <t xml:space="preserve">Easternmost longitude (decimal degree, West negative, WGS84)</t>
  </si>
  <si>
    <t xml:space="preserve">Westernmost longitude (decimal degree, West negative, WGS84)</t>
  </si>
  <si>
    <t xml:space="preserve">elevation (m), below sea level negative</t>
  </si>
  <si>
    <t xml:space="preserve">Funding_Agency</t>
  </si>
  <si>
    <t xml:space="preserve">Any additional Funding agencies and grants should be entered in Columns C,D, etc. </t>
  </si>
  <si>
    <t xml:space="preserve">Funding_Agency_Name</t>
  </si>
  <si>
    <t xml:space="preserve">ANID </t>
  </si>
  <si>
    <t xml:space="preserve">Grant</t>
  </si>
  <si>
    <t xml:space="preserve">FONDECYT INICIACION 11220930</t>
  </si>
  <si>
    <t xml:space="preserve">Principal_Investigator</t>
  </si>
  <si>
    <t xml:space="preserve">country</t>
  </si>
  <si>
    <t xml:space="preserve">Chile</t>
  </si>
  <si>
    <t xml:space="preserve">Select one</t>
  </si>
  <si>
    <t xml:space="preserve">Borehole</t>
  </si>
  <si>
    <t xml:space="preserve">Climate Forcing</t>
  </si>
  <si>
    <t xml:space="preserve">Climate Reconstructions</t>
  </si>
  <si>
    <t xml:space="preserve">Corals and Sclerosponges</t>
  </si>
  <si>
    <t xml:space="preserve">Fauna</t>
  </si>
  <si>
    <t xml:space="preserve">Fire History</t>
  </si>
  <si>
    <t xml:space="preserve">Historical</t>
  </si>
  <si>
    <t xml:space="preserve">Ice Cores</t>
  </si>
  <si>
    <t xml:space="preserve">Insect</t>
  </si>
  <si>
    <t xml:space="preserve">Instrumental</t>
  </si>
  <si>
    <t xml:space="preserve">Lake Levels</t>
  </si>
  <si>
    <t xml:space="preserve">Loess</t>
  </si>
  <si>
    <t xml:space="preserve">Paleoceanography</t>
  </si>
  <si>
    <t xml:space="preserve">Paleoclimatic Modeling</t>
  </si>
  <si>
    <t xml:space="preserve">Paleolimnology</t>
  </si>
  <si>
    <t xml:space="preserve">Plant Macrofossils</t>
  </si>
  <si>
    <t xml:space="preserve">Pollen</t>
  </si>
  <si>
    <t xml:space="preserve">Speleothems</t>
  </si>
  <si>
    <t xml:space="preserve">Tree Ring</t>
  </si>
  <si>
    <t xml:space="preserve">Other Collections</t>
  </si>
  <si>
    <t xml:space="preserve">Notes</t>
  </si>
  <si>
    <t xml:space="preserve">Variables</t>
  </si>
  <si>
    <t xml:space="preserve">Use one row to define each variable; add additional worksheets for additional tables; clear the contents of unused lines; if adding lines, check that the HasMinValue, HasMaxValue, HasMeanValue and HasMedianValue has the proper cell assignment. Leave any unused columns blank (Do not delete them)</t>
  </si>
  <si>
    <t xml:space="preserve">variableName</t>
  </si>
  <si>
    <t xml:space="preserve">variableType</t>
  </si>
  <si>
    <t xml:space="preserve">Units</t>
  </si>
  <si>
    <t xml:space="preserve">ProxyObservationType</t>
  </si>
  <si>
    <t xml:space="preserve">InferredVariableType</t>
  </si>
  <si>
    <t xml:space="preserve">TakenAtDepth</t>
  </si>
  <si>
    <t xml:space="preserve">InferredFrom</t>
  </si>
  <si>
    <t xml:space="preserve">notes</t>
  </si>
  <si>
    <t xml:space="preserve">Interpretation1_variable</t>
  </si>
  <si>
    <t xml:space="preserve">Interpretation1_variableDetail</t>
  </si>
  <si>
    <t xml:space="preserve">Interpretation1_rank</t>
  </si>
  <si>
    <t xml:space="preserve">Interpretation1_basis</t>
  </si>
  <si>
    <t xml:space="preserve">Interpretation1_local</t>
  </si>
  <si>
    <t xml:space="preserve">Interpretation1_interpDirection</t>
  </si>
  <si>
    <t xml:space="preserve">Interpretation1_scope</t>
  </si>
  <si>
    <t xml:space="preserve">Interpretation1_seasonality</t>
  </si>
  <si>
    <t xml:space="preserve">calibration_equation</t>
  </si>
  <si>
    <t xml:space="preserve">calibration_notes</t>
  </si>
  <si>
    <t xml:space="preserve">calibration_reference</t>
  </si>
  <si>
    <t xml:space="preserve">calibration_uncertainty</t>
  </si>
  <si>
    <t xml:space="preserve">calibration_uncertaintyType</t>
  </si>
  <si>
    <t xml:space="preserve">sensorGenus</t>
  </si>
  <si>
    <t xml:space="preserve">sensorSpecies</t>
  </si>
  <si>
    <t xml:space="preserve">PhysicalSample_Name</t>
  </si>
  <si>
    <t xml:space="preserve">PhysicalSample_Identifier</t>
  </si>
  <si>
    <t xml:space="preserve">PhysicalSample_hasIGSN</t>
  </si>
  <si>
    <t xml:space="preserve">PhysicalSample_housedAt</t>
  </si>
  <si>
    <t xml:space="preserve">PhysicalSample_collectionMethod</t>
  </si>
  <si>
    <t xml:space="preserve">measured</t>
  </si>
  <si>
    <t xml:space="preserve">cm</t>
  </si>
  <si>
    <t xml:space="preserve">calendadar</t>
  </si>
  <si>
    <t xml:space="preserve">positive</t>
  </si>
  <si>
    <t xml:space="preserve">yr BP</t>
  </si>
  <si>
    <t xml:space="preserve">Radiocarbon</t>
  </si>
  <si>
    <t xml:space="preserve">Radiocarbon Age</t>
  </si>
  <si>
    <t xml:space="preserve">Depth</t>
  </si>
  <si>
    <t xml:space="preserve">Age</t>
  </si>
  <si>
    <t xml:space="preserve">monthly</t>
  </si>
  <si>
    <t xml:space="preserve">per mil</t>
  </si>
  <si>
    <t xml:space="preserve">d13C</t>
  </si>
  <si>
    <t xml:space="preserve">Temperature</t>
  </si>
  <si>
    <t xml:space="preserve">Temperature </t>
  </si>
  <si>
    <t xml:space="preserve">Isotope</t>
  </si>
  <si>
    <t xml:space="preserve">d18O</t>
  </si>
  <si>
    <t xml:space="preserve">percent</t>
  </si>
  <si>
    <t xml:space="preserve">C</t>
  </si>
  <si>
    <t xml:space="preserve">Carbonate saturation</t>
  </si>
  <si>
    <t xml:space="preserve">Salinity</t>
  </si>
  <si>
    <t xml:space="preserve">Climate</t>
  </si>
  <si>
    <t xml:space="preserve">Organic matter</t>
  </si>
  <si>
    <t xml:space="preserve">Carbon dioxide concentration</t>
  </si>
  <si>
    <t xml:space="preserve">organic productivity</t>
  </si>
  <si>
    <t xml:space="preserve">inferred</t>
  </si>
  <si>
    <t xml:space="preserve">Grain size</t>
  </si>
  <si>
    <t xml:space="preserve">Methane concentration</t>
  </si>
  <si>
    <t xml:space="preserve">Methane</t>
  </si>
  <si>
    <t xml:space="preserve">degree Celsius</t>
  </si>
  <si>
    <t xml:space="preserve">unitless</t>
  </si>
  <si>
    <t xml:space="preserve">fecal pollution</t>
  </si>
  <si>
    <t xml:space="preserve">Ecology</t>
  </si>
  <si>
    <t xml:space="preserve">Data</t>
  </si>
  <si>
    <t xml:space="preserve">Paste Data Table below starting in Column A. Clear the headers of unused columns.</t>
  </si>
  <si>
    <t xml:space="preserve">Missing Value </t>
  </si>
  <si>
    <t xml:space="preserve">NA</t>
  </si>
  <si>
    <t xml:space="preserve">The value or character string used as a placeholder for missing values</t>
  </si>
  <si>
    <t xml:space="preserve">age</t>
  </si>
  <si>
    <t xml:space="preserve">TIC</t>
  </si>
  <si>
    <t xml:space="preserve">TOC</t>
  </si>
  <si>
    <t xml:space="preserve">EM1</t>
  </si>
  <si>
    <t xml:space="preserve">EM2</t>
  </si>
  <si>
    <t xml:space="preserve">EM3</t>
  </si>
  <si>
    <t xml:space="preserve">EM4</t>
  </si>
  <si>
    <t xml:space="preserve">EM5</t>
  </si>
  <si>
    <t xml:space="preserve">MI</t>
  </si>
  <si>
    <t xml:space="preserve">MAAT_comp</t>
  </si>
  <si>
    <t xml:space="preserve">RH1</t>
  </si>
  <si>
    <t xml:space="preserve">R11</t>
  </si>
  <si>
    <t xml:space="preserve">-1.179149971971</t>
  </si>
  <si>
    <t xml:space="preserve">-1.70104893207455</t>
  </si>
  <si>
    <t xml:space="preserve">-1.43499837717196</t>
  </si>
  <si>
    <t xml:space="preserve">-1.91928105872753</t>
  </si>
  <si>
    <t xml:space="preserve">-0.806610668865473</t>
  </si>
  <si>
    <t xml:space="preserve">-0.982011487621718</t>
  </si>
  <si>
    <t xml:space="preserve">-0.581187208512561</t>
  </si>
  <si>
    <t xml:space="preserve">-0.580550354559717</t>
  </si>
  <si>
    <t xml:space="preserve">-1.58411974417823</t>
  </si>
  <si>
    <t xml:space="preserve">-0.697353101364643</t>
  </si>
  <si>
    <t xml:space="preserve">-1.12632283804662</t>
  </si>
  <si>
    <t xml:space="preserve">-1.32241792130626</t>
  </si>
  <si>
    <t xml:space="preserve">-1.37904674636958</t>
  </si>
  <si>
    <t xml:space="preserve">-1.36532056960831</t>
  </si>
  <si>
    <t xml:space="preserve">-1.5543131516988</t>
  </si>
  <si>
    <t xml:space="preserve">-1.31392571460035</t>
  </si>
  <si>
    <t xml:space="preserve">-1.13935004006212</t>
  </si>
  <si>
    <t xml:space="preserve">-1.14515395174263</t>
  </si>
  <si>
    <t xml:space="preserve">-1.32940896090583</t>
  </si>
  <si>
    <t xml:space="preserve">-1.46289870661312</t>
  </si>
  <si>
    <t xml:space="preserve">-0.634254273480251</t>
  </si>
  <si>
    <t xml:space="preserve">-0.411847319044906</t>
  </si>
  <si>
    <t xml:space="preserve">-1.43159440383484</t>
  </si>
  <si>
    <t xml:space="preserve">0.992067358212208</t>
  </si>
  <si>
    <t xml:space="preserve">-1.2759753250402</t>
  </si>
  <si>
    <t xml:space="preserve">0.116678374719681</t>
  </si>
  <si>
    <t xml:space="preserve">-1.77800481183136</t>
  </si>
  <si>
    <t xml:space="preserve">-0.2427654728948</t>
  </si>
  <si>
    <t xml:space="preserve">-1.60622060514012</t>
  </si>
  <si>
    <t xml:space="preserve">0.17636918718633</t>
  </si>
  <si>
    <t xml:space="preserve">-2.97172650804271</t>
  </si>
  <si>
    <t xml:space="preserve">-0.457719468130852</t>
  </si>
  <si>
    <t xml:space="preserve">-2.6350642288566</t>
  </si>
  <si>
    <t xml:space="preserve">-0.834864734963448</t>
  </si>
  <si>
    <t xml:space="preserve">-2.92169203433987</t>
  </si>
  <si>
    <t xml:space="preserve">-0.311580520045542</t>
  </si>
  <si>
    <t xml:space="preserve">-2.06280371740027</t>
  </si>
  <si>
    <t xml:space="preserve">-0.612580935917265</t>
  </si>
  <si>
    <t xml:space="preserve">-3.80783259023087</t>
  </si>
  <si>
    <t xml:space="preserve">-2.10994241392927</t>
  </si>
  <si>
    <t xml:space="preserve">-3.5078151787613</t>
  </si>
  <si>
    <t xml:space="preserve">-1.38800988311218</t>
  </si>
  <si>
    <t xml:space="preserve">-2.96269129504156</t>
  </si>
  <si>
    <t xml:space="preserve">-0.334858046673164</t>
  </si>
  <si>
    <t xml:space="preserve">-1.88369504222977</t>
  </si>
  <si>
    <t xml:space="preserve">-0.147242145998185</t>
  </si>
  <si>
    <t xml:space="preserve">-3.37804940796714</t>
  </si>
  <si>
    <t xml:space="preserve">-2.10223440125611</t>
  </si>
  <si>
    <t xml:space="preserve">-3.28717031430206</t>
  </si>
  <si>
    <t xml:space="preserve">-2.85348118831468</t>
  </si>
  <si>
    <t xml:space="preserve">-4.20755872980775</t>
  </si>
  <si>
    <t xml:space="preserve">-3.76108359736642</t>
  </si>
  <si>
    <t xml:space="preserve">-4.47280176980885</t>
  </si>
  <si>
    <t xml:space="preserve">-3.6999798376157</t>
  </si>
  <si>
    <t xml:space="preserve">-5.29633991568921</t>
  </si>
  <si>
    <t xml:space="preserve">-5.40435202199307</t>
  </si>
  <si>
    <t xml:space="preserve">0.41636250053942</t>
  </si>
  <si>
    <t xml:space="preserve">-1.06935046139345</t>
  </si>
  <si>
    <t xml:space="preserve">1.01866731748532</t>
  </si>
  <si>
    <t xml:space="preserve">-0.293136138980984</t>
  </si>
  <si>
    <t xml:space="preserve">0.072218806510153</t>
  </si>
  <si>
    <t xml:space="preserve">-0.553197622445254</t>
  </si>
  <si>
    <t xml:space="preserve">-2.2370499975219</t>
  </si>
  <si>
    <t xml:space="preserve">-1.13636519253136</t>
  </si>
  <si>
    <t xml:space="preserve">-4.90732026908949</t>
  </si>
  <si>
    <t xml:space="preserve">-1.27112966000826</t>
  </si>
  <si>
    <t xml:space="preserve">-5.31163783986785</t>
  </si>
  <si>
    <t xml:space="preserve">-2.36752186182948</t>
  </si>
  <si>
    <t xml:space="preserve">-6.96994945036329</t>
  </si>
  <si>
    <t xml:space="preserve">-2.56814781664207</t>
  </si>
  <si>
    <t xml:space="preserve">-6.42852024381835</t>
  </si>
  <si>
    <t xml:space="preserve">-3.20599764191858</t>
  </si>
  <si>
    <t xml:space="preserve">-6.84408539064208</t>
  </si>
  <si>
    <t xml:space="preserve">-5.09581717266358</t>
  </si>
  <si>
    <t xml:space="preserve">-6.63582104549278</t>
  </si>
  <si>
    <t xml:space="preserve">-1.88729247797123</t>
  </si>
  <si>
    <t xml:space="preserve">-7.16533409839112</t>
  </si>
  <si>
    <t xml:space="preserve">-2.85133120122866</t>
  </si>
  <si>
    <t xml:space="preserve">-6.66620616005156</t>
  </si>
  <si>
    <t xml:space="preserve">-2.28131767322714</t>
  </si>
  <si>
    <t xml:space="preserve">-7.31388857279053</t>
  </si>
  <si>
    <t xml:space="preserve">-2.56630786724343</t>
  </si>
  <si>
    <t xml:space="preserve">-7.61496275605459</t>
  </si>
  <si>
    <t xml:space="preserve">-2.47479652768398</t>
  </si>
  <si>
    <t xml:space="preserve">-6.11196740872855</t>
  </si>
  <si>
    <t xml:space="preserve">-2.34973355513075</t>
  </si>
  <si>
    <t xml:space="preserve">-7.47353069687289</t>
  </si>
  <si>
    <t xml:space="preserve">-3.04869545426482</t>
  </si>
  <si>
    <t xml:space="preserve">-6.57084762667846</t>
  </si>
  <si>
    <t xml:space="preserve">-2.90769800847306</t>
  </si>
  <si>
    <t xml:space="preserve">-6.1555099871984</t>
  </si>
  <si>
    <t xml:space="preserve">-2.26334300988037</t>
  </si>
  <si>
    <t xml:space="preserve">-6.89907736255925</t>
  </si>
  <si>
    <t xml:space="preserve">-2.55134722320724</t>
  </si>
  <si>
    <t xml:space="preserve">-6.06416965733562</t>
  </si>
  <si>
    <t xml:space="preserve">-1.88380801134743</t>
  </si>
  <si>
    <t xml:space="preserve">-8.67795460124323</t>
  </si>
  <si>
    <t xml:space="preserve">-3.45194485316931</t>
  </si>
  <si>
    <t xml:space="preserve">-9.53567677897891</t>
  </si>
  <si>
    <t xml:space="preserve">-3.92590359825889</t>
  </si>
  <si>
    <t xml:space="preserve">-9.38870303394971</t>
  </si>
  <si>
    <t xml:space="preserve">-5.43057644720961</t>
  </si>
  <si>
    <t xml:space="preserve">-9.81231681653598</t>
  </si>
  <si>
    <t xml:space="preserve">-8.61849671559189</t>
  </si>
  <si>
    <t xml:space="preserve">-8.7652034335107</t>
  </si>
  <si>
    <t xml:space="preserve">-5.60472543694214</t>
  </si>
  <si>
    <t xml:space="preserve">-10.2805053576826</t>
  </si>
  <si>
    <t xml:space="preserve">-7.4285919902176</t>
  </si>
  <si>
    <t xml:space="preserve">-10.6505086779902</t>
  </si>
  <si>
    <t xml:space="preserve">-5.76188631674823</t>
  </si>
  <si>
    <t xml:space="preserve">-9.31285146921185</t>
  </si>
  <si>
    <t xml:space="preserve">-4.41990667280148</t>
  </si>
  <si>
    <t xml:space="preserve">-9.61149915727797</t>
  </si>
  <si>
    <t xml:space="preserve">-4.39028675529566</t>
  </si>
  <si>
    <t xml:space="preserve">-11.4885493391023</t>
  </si>
  <si>
    <t xml:space="preserve">-4.87755140542383</t>
  </si>
  <si>
    <t xml:space="preserve">&lt;notes that describe the table as a whole&gt;</t>
  </si>
  <si>
    <t xml:space="preserve">Use one row to define each variable; add additional worksheets for additional tables; clear the contents  of unused lines; if adding lines, check that the HasMinValue, HasMaxValue, HasMeanValue and HasMedianValue has the proper cell assignment. Leave any unused columns blank (Do not delete them)</t>
  </si>
  <si>
    <t xml:space="preserve">Intepretation1_local</t>
  </si>
  <si>
    <t xml:space="preserve">Intepretation1_seasonality</t>
  </si>
  <si>
    <t xml:space="preserve">yr</t>
  </si>
  <si>
    <t xml:space="preserve">depth</t>
  </si>
  <si>
    <t xml:space="preserve">calendar</t>
  </si>
  <si>
    <t xml:space="preserve">local</t>
  </si>
  <si>
    <t xml:space="preserve">labid</t>
  </si>
  <si>
    <t xml:space="preserve">ageuncertainty</t>
  </si>
  <si>
    <t xml:space="preserve">age_type</t>
  </si>
  <si>
    <t xml:space="preserve">CoreName</t>
  </si>
  <si>
    <t xml:space="preserve">thickness</t>
  </si>
  <si>
    <t xml:space="preserve">dR</t>
  </si>
  <si>
    <t xml:space="preserve">dSTD</t>
  </si>
  <si>
    <t xml:space="preserve">DAMS039542</t>
  </si>
  <si>
    <t xml:space="preserve">age14C</t>
  </si>
  <si>
    <t xml:space="preserve">TT193A</t>
  </si>
  <si>
    <t xml:space="preserve">DAMS039543</t>
  </si>
  <si>
    <t xml:space="preserve">DAMS039544</t>
  </si>
  <si>
    <t xml:space="preserve">DAMS039545</t>
  </si>
  <si>
    <t xml:space="preserve">DAMS039546</t>
  </si>
  <si>
    <t xml:space="preserve">DAMS039547</t>
  </si>
  <si>
    <t xml:space="preserve">DAMS039548</t>
  </si>
  <si>
    <t xml:space="preserve">DAMS039549</t>
  </si>
  <si>
    <t xml:space="preserve">DAMS039550</t>
  </si>
  <si>
    <t xml:space="preserve">DAMS039551</t>
  </si>
  <si>
    <t xml:space="preserve">DAMS039552</t>
  </si>
  <si>
    <t xml:space="preserve">DAMS039553</t>
  </si>
  <si>
    <t xml:space="preserve">DAMS039554</t>
  </si>
  <si>
    <t xml:space="preserve">coral</t>
  </si>
  <si>
    <t xml:space="preserve">Al/Ca</t>
  </si>
  <si>
    <t xml:space="preserve">Archea</t>
  </si>
  <si>
    <t xml:space="preserve">far-field</t>
  </si>
  <si>
    <t xml:space="preserve">document</t>
  </si>
  <si>
    <t xml:space="preserve">Ar-Ar</t>
  </si>
  <si>
    <t xml:space="preserve">Bivalves</t>
  </si>
  <si>
    <t xml:space="preserve">Sea Surface Temperature</t>
  </si>
  <si>
    <t xml:space="preserve">negative</t>
  </si>
  <si>
    <t xml:space="preserve">glacier ice</t>
  </si>
  <si>
    <t xml:space="preserve">B/Ca</t>
  </si>
  <si>
    <t xml:space="preserve">Chironomids</t>
  </si>
  <si>
    <t xml:space="preserve">Bottom Water Temperature</t>
  </si>
  <si>
    <t xml:space="preserve">hybrid</t>
  </si>
  <si>
    <t xml:space="preserve">Ba/Ca</t>
  </si>
  <si>
    <t xml:space="preserve">Coccolithophores</t>
  </si>
  <si>
    <t xml:space="preserve">Ocean Mixed Layer Temperature</t>
  </si>
  <si>
    <t xml:space="preserve">Foraminifera</t>
  </si>
  <si>
    <t xml:space="preserve">Surface air temperature</t>
  </si>
  <si>
    <t xml:space="preserve">marine sediment</t>
  </si>
  <si>
    <t xml:space="preserve">Clay fraction</t>
  </si>
  <si>
    <t xml:space="preserve">Gastropods</t>
  </si>
  <si>
    <t xml:space="preserve">mollusks shells</t>
  </si>
  <si>
    <t xml:space="preserve">Color</t>
  </si>
  <si>
    <t xml:space="preserve">Ice sheet</t>
  </si>
  <si>
    <t xml:space="preserve">peat</t>
  </si>
  <si>
    <t xml:space="preserve">d34S</t>
  </si>
  <si>
    <t xml:space="preserve">Karst</t>
  </si>
  <si>
    <t xml:space="preserve">Nitrous oxide concentration</t>
  </si>
  <si>
    <t xml:space="preserve">rock</t>
  </si>
  <si>
    <t xml:space="preserve">Mollusk</t>
  </si>
  <si>
    <t xml:space="preserve">Free oxygen levels</t>
  </si>
  <si>
    <t xml:space="preserve">sclerosponge</t>
  </si>
  <si>
    <t xml:space="preserve">d15N</t>
  </si>
  <si>
    <t xml:space="preserve">Ostracods</t>
  </si>
  <si>
    <t xml:space="preserve">pH</t>
  </si>
  <si>
    <t xml:space="preserve">speleothem</t>
  </si>
  <si>
    <t xml:space="preserve">d17O</t>
  </si>
  <si>
    <t xml:space="preserve">Polyp</t>
  </si>
  <si>
    <t xml:space="preserve">wood</t>
  </si>
  <si>
    <t xml:space="preserve">Rock</t>
  </si>
  <si>
    <t xml:space="preserve">Carbonate Ion Concentration</t>
  </si>
  <si>
    <t xml:space="preserve">dD</t>
  </si>
  <si>
    <t xml:space="preserve">Snow</t>
  </si>
  <si>
    <t xml:space="preserve">Density</t>
  </si>
  <si>
    <t xml:space="preserve">Tree</t>
  </si>
  <si>
    <t xml:space="preserve">Diffuse spectral reflectance</t>
  </si>
  <si>
    <t xml:space="preserve">Vegetation</t>
  </si>
  <si>
    <t xml:space="preserve">Faunal</t>
  </si>
  <si>
    <t xml:space="preserve">Watershed</t>
  </si>
  <si>
    <t xml:space="preserve">ExcessD</t>
  </si>
  <si>
    <t xml:space="preserve">Fe/Ca</t>
  </si>
  <si>
    <t xml:space="preserve">Precipitation Amount</t>
  </si>
  <si>
    <t xml:space="preserve">Floral</t>
  </si>
  <si>
    <t xml:space="preserve">Historic</t>
  </si>
  <si>
    <t xml:space="preserve">Layer thickness</t>
  </si>
  <si>
    <t xml:space="preserve">Moisture Content </t>
  </si>
  <si>
    <t xml:space="preserve">Lead Isotope</t>
  </si>
  <si>
    <t xml:space="preserve">PDSI</t>
  </si>
  <si>
    <t xml:space="preserve">Li/Ca</t>
  </si>
  <si>
    <t xml:space="preserve">Lithics</t>
  </si>
  <si>
    <t xml:space="preserve">JulianDay</t>
  </si>
  <si>
    <t xml:space="preserve">Luminescence</t>
  </si>
  <si>
    <t xml:space="preserve">Magnetic susceptibility</t>
  </si>
  <si>
    <t xml:space="preserve">Mg/Ca</t>
  </si>
  <si>
    <t xml:space="preserve">SOI</t>
  </si>
  <si>
    <t xml:space="preserve">Mineral matter</t>
  </si>
  <si>
    <t xml:space="preserve">Nino3.4</t>
  </si>
  <si>
    <t xml:space="preserve">Mn/Ca</t>
  </si>
  <si>
    <t xml:space="preserve">Nino3</t>
  </si>
  <si>
    <t xml:space="preserve">Moisture Content</t>
  </si>
  <si>
    <t xml:space="preserve">Nino4</t>
  </si>
  <si>
    <t xml:space="preserve">N</t>
  </si>
  <si>
    <t xml:space="preserve">Nino1</t>
  </si>
  <si>
    <t xml:space="preserve">Neodymium</t>
  </si>
  <si>
    <t xml:space="preserve">Nino2</t>
  </si>
  <si>
    <t xml:space="preserve">Nino1+2</t>
  </si>
  <si>
    <t xml:space="preserve">P</t>
  </si>
  <si>
    <t xml:space="preserve">AMO</t>
  </si>
  <si>
    <t xml:space="preserve">Permeability</t>
  </si>
  <si>
    <t xml:space="preserve">NAO</t>
  </si>
  <si>
    <t xml:space="preserve">Porosity</t>
  </si>
  <si>
    <t xml:space="preserve">AO</t>
  </si>
  <si>
    <t xml:space="preserve">SAM</t>
  </si>
  <si>
    <t xml:space="preserve">Resistivity</t>
  </si>
  <si>
    <t xml:space="preserve">AAO</t>
  </si>
  <si>
    <t xml:space="preserve">Sand fraction</t>
  </si>
  <si>
    <t xml:space="preserve">Si</t>
  </si>
  <si>
    <t xml:space="preserve">Silt fraction</t>
  </si>
  <si>
    <t xml:space="preserve">Sr/Ca</t>
  </si>
  <si>
    <t xml:space="preserve">TEX86</t>
  </si>
  <si>
    <t xml:space="preserve">U-Th</t>
  </si>
  <si>
    <t xml:space="preserve">Uk37</t>
  </si>
  <si>
    <t xml:space="preserve">Uk37Prime</t>
  </si>
  <si>
    <t xml:space="preserve">X-Ray diffraction</t>
  </si>
  <si>
    <t xml:space="preserve">X-ray fluorescence</t>
  </si>
  <si>
    <t xml:space="preserve">Zn/Ca</t>
  </si>
</sst>
</file>

<file path=xl/styles.xml><?xml version="1.0" encoding="utf-8"?>
<styleSheet xmlns="http://schemas.openxmlformats.org/spreadsheetml/2006/main">
  <numFmts count="5">
    <numFmt numFmtId="164" formatCode="General"/>
    <numFmt numFmtId="165" formatCode="@"/>
    <numFmt numFmtId="166" formatCode="[$-409]General"/>
    <numFmt numFmtId="167" formatCode="[$-409]mmm\ dd"/>
    <numFmt numFmtId="168" formatCode="General"/>
  </numFmts>
  <fonts count="21">
    <font>
      <sz val="11"/>
      <color rgb="FF000000"/>
      <name val="Calibri"/>
      <family val="2"/>
      <charset val="1"/>
    </font>
    <font>
      <sz val="10"/>
      <name val="Arial"/>
      <family val="0"/>
    </font>
    <font>
      <sz val="10"/>
      <name val="Arial"/>
      <family val="0"/>
    </font>
    <font>
      <sz val="10"/>
      <name val="Arial"/>
      <family val="0"/>
    </font>
    <font>
      <b val="true"/>
      <sz val="14"/>
      <color rgb="FF000000"/>
      <name val="Calibri"/>
      <family val="2"/>
      <charset val="1"/>
    </font>
    <font>
      <u val="single"/>
      <sz val="11"/>
      <color rgb="FF0000FF"/>
      <name val="Calibri"/>
      <family val="2"/>
      <charset val="1"/>
    </font>
    <font>
      <b val="true"/>
      <i val="true"/>
      <sz val="11"/>
      <color rgb="FF000000"/>
      <name val="Calibri"/>
      <family val="0"/>
      <charset val="1"/>
    </font>
    <font>
      <i val="true"/>
      <sz val="11"/>
      <color rgb="FF000000"/>
      <name val="Calibri"/>
      <family val="0"/>
      <charset val="1"/>
    </font>
    <font>
      <u val="single"/>
      <sz val="11"/>
      <color rgb="FF000000"/>
      <name val="Calibri"/>
      <family val="2"/>
      <charset val="1"/>
    </font>
    <font>
      <b val="true"/>
      <sz val="11"/>
      <color rgb="FF000000"/>
      <name val="Calibri"/>
      <family val="2"/>
      <charset val="1"/>
    </font>
    <font>
      <sz val="11"/>
      <color rgb="FFFF0000"/>
      <name val="Calibri (Body)"/>
      <family val="0"/>
      <charset val="1"/>
    </font>
    <font>
      <sz val="11"/>
      <color rgb="FFFFC000"/>
      <name val="Calibri (Body)"/>
      <family val="0"/>
      <charset val="1"/>
    </font>
    <font>
      <b val="true"/>
      <u val="single"/>
      <sz val="11"/>
      <color rgb="FF000000"/>
      <name val="Calibri"/>
      <family val="2"/>
      <charset val="1"/>
    </font>
    <font>
      <sz val="11"/>
      <color rgb="FF000000"/>
      <name val="Courier New"/>
      <family val="0"/>
      <charset val="1"/>
    </font>
    <font>
      <sz val="11"/>
      <color rgb="FF9C6500"/>
      <name val="Calibri"/>
      <family val="2"/>
      <charset val="1"/>
    </font>
    <font>
      <sz val="11"/>
      <color rgb="FFFF0000"/>
      <name val="Calibri"/>
      <family val="2"/>
      <charset val="1"/>
    </font>
    <font>
      <sz val="10"/>
      <color rgb="FF000000"/>
      <name val="Arial"/>
      <family val="2"/>
      <charset val="1"/>
    </font>
    <font>
      <b val="true"/>
      <sz val="11"/>
      <color rgb="FFFFFFFF"/>
      <name val="Calibri"/>
      <family val="2"/>
      <charset val="1"/>
    </font>
    <font>
      <b val="true"/>
      <sz val="11"/>
      <color rgb="FF9C6500"/>
      <name val="Calibri"/>
      <family val="2"/>
      <charset val="1"/>
    </font>
    <font>
      <sz val="8.8"/>
      <color rgb="FF000000"/>
      <name val="Arial"/>
      <family val="2"/>
      <charset val="1"/>
    </font>
    <font>
      <b val="true"/>
      <sz val="11"/>
      <color rgb="FFFF0000"/>
      <name val="Calibri"/>
      <family val="2"/>
      <charset val="1"/>
    </font>
  </fonts>
  <fills count="6">
    <fill>
      <patternFill patternType="none"/>
    </fill>
    <fill>
      <patternFill patternType="gray125"/>
    </fill>
    <fill>
      <patternFill patternType="solid">
        <fgColor rgb="FFFFEB9C"/>
        <bgColor rgb="FFFFFFCC"/>
      </patternFill>
    </fill>
    <fill>
      <patternFill patternType="solid">
        <fgColor rgb="FFA5A5A5"/>
        <bgColor rgb="FFA6A6A6"/>
      </patternFill>
    </fill>
    <fill>
      <patternFill patternType="solid">
        <fgColor rgb="FFD9D9D9"/>
        <bgColor rgb="FFCCFFCC"/>
      </patternFill>
    </fill>
    <fill>
      <patternFill patternType="solid">
        <fgColor rgb="FFA6A6A6"/>
        <bgColor rgb="FFA5A5A5"/>
      </patternFill>
    </fill>
  </fills>
  <borders count="5">
    <border diagonalUp="false" diagonalDown="false">
      <left/>
      <right/>
      <top/>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style="double">
        <color rgb="FF3F3F3F"/>
      </left>
      <right style="double">
        <color rgb="FF3F3F3F"/>
      </right>
      <top/>
      <bottom style="double">
        <color rgb="FF3F3F3F"/>
      </bottom>
      <diagonal/>
    </border>
    <border diagonalUp="false" diagonalDown="false">
      <left style="double">
        <color rgb="FF3F3F3F"/>
      </left>
      <right/>
      <top style="double">
        <color rgb="FF3F3F3F"/>
      </top>
      <bottom style="double">
        <color rgb="FF3F3F3F"/>
      </bottom>
      <diagonal/>
    </border>
    <border diagonalUp="false" diagonalDown="false">
      <left style="thin"/>
      <right style="thin"/>
      <top style="thin"/>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xf numFmtId="164" fontId="14" fillId="2" borderId="0" applyFont="true" applyBorder="false" applyAlignment="true" applyProtection="false">
      <alignment horizontal="general" vertical="bottom" textRotation="0" wrapText="false" indent="0" shrinkToFit="false"/>
    </xf>
    <xf numFmtId="164" fontId="17" fillId="3" borderId="1" applyFont="true" applyBorder="true" applyAlignment="true" applyProtection="false">
      <alignment horizontal="general" vertical="bottom" textRotation="0" wrapText="false" indent="0" shrinkToFit="false"/>
    </xf>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4" borderId="0" xfId="0" applyFont="true" applyBorder="true" applyAlignment="true" applyProtection="false">
      <alignment horizontal="center" vertical="bottom" textRotation="0" wrapText="false" indent="0" shrinkToFit="false"/>
      <protection locked="true" hidden="false"/>
    </xf>
    <xf numFmtId="165" fontId="5" fillId="0" borderId="0" xfId="20" applyFont="true" applyBorder="true" applyAlignment="true" applyProtection="true">
      <alignment horizontal="general" vertical="bottom" textRotation="0" wrapText="false" indent="0" shrinkToFit="false"/>
      <protection locked="true" hidden="false"/>
    </xf>
    <xf numFmtId="165" fontId="4" fillId="4" borderId="0" xfId="0" applyFont="true" applyBorder="true" applyAlignment="true" applyProtection="false">
      <alignment horizontal="center" vertical="center" textRotation="0" wrapText="false" indent="0" shrinkToFit="false"/>
      <protection locked="true" hidden="false"/>
    </xf>
    <xf numFmtId="165" fontId="6" fillId="4" borderId="0" xfId="0" applyFont="true" applyBorder="true" applyAlignment="true" applyProtection="false">
      <alignment horizontal="center" vertical="center" textRotation="0" wrapText="false" indent="0" shrinkToFit="false"/>
      <protection locked="true" hidden="false"/>
    </xf>
    <xf numFmtId="165" fontId="0" fillId="0" borderId="0" xfId="0" applyFont="true" applyBorder="false" applyAlignment="true" applyProtection="false">
      <alignment horizontal="left" vertical="center" textRotation="0" wrapText="false" indent="0" shrinkToFit="false"/>
      <protection locked="true" hidden="false"/>
    </xf>
    <xf numFmtId="165" fontId="6" fillId="0" borderId="0" xfId="0" applyFont="true" applyBorder="false" applyAlignment="true" applyProtection="false">
      <alignment horizontal="center" vertical="center" textRotation="0" wrapText="false" indent="0" shrinkToFit="false"/>
      <protection locked="true" hidden="false"/>
    </xf>
    <xf numFmtId="165" fontId="5" fillId="0" borderId="0" xfId="20" applyFont="true" applyBorder="true" applyAlignment="true" applyProtection="true">
      <alignment horizontal="left" vertical="center"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5" fontId="6" fillId="4" borderId="0" xfId="0" applyFont="true" applyBorder="false" applyAlignment="true" applyProtection="false">
      <alignment horizontal="center" vertical="center"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14" fillId="0" borderId="0" xfId="21" applyFont="false" applyBorder="true" applyAlignment="true" applyProtection="true">
      <alignment horizontal="general" vertical="bottom" textRotation="0" wrapText="false" indent="0" shrinkToFit="false"/>
      <protection locked="true" hidden="false"/>
    </xf>
    <xf numFmtId="166" fontId="15" fillId="4"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6" fontId="0" fillId="4" borderId="0" xfId="0" applyFont="true" applyBorder="false" applyAlignment="false" applyProtection="false">
      <alignment horizontal="general" vertical="bottom" textRotation="0" wrapText="false" indent="0" shrinkToFit="false"/>
      <protection locked="true" hidden="false"/>
    </xf>
    <xf numFmtId="166" fontId="5" fillId="0" borderId="0" xfId="20" applyFont="true" applyBorder="true" applyAlignment="true" applyProtection="tru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6" fontId="17" fillId="3" borderId="1" xfId="22" applyFont="true" applyBorder="false" applyAlignment="true" applyProtection="true">
      <alignment horizontal="general" vertical="bottom" textRotation="0" wrapText="false" indent="0" shrinkToFit="false"/>
      <protection locked="true" hidden="false"/>
    </xf>
    <xf numFmtId="166" fontId="18" fillId="2" borderId="0" xfId="21"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6" fontId="14" fillId="2" borderId="0" xfId="21" applyFont="true" applyBorder="true" applyAlignment="true" applyProtection="tru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6" fontId="0" fillId="4" borderId="0" xfId="0" applyFont="true" applyBorder="true" applyAlignment="false" applyProtection="false">
      <alignment horizontal="general" vertical="bottom" textRotation="0" wrapText="false" indent="0" shrinkToFit="false"/>
      <protection locked="true" hidden="false"/>
    </xf>
    <xf numFmtId="166"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17" fillId="3" borderId="2"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7" fillId="3" borderId="1" xfId="22" applyFont="true" applyBorder="false" applyAlignment="true" applyProtection="true">
      <alignment horizontal="general" vertical="bottom" textRotation="0" wrapText="false" indent="0" shrinkToFit="false"/>
      <protection locked="true" hidden="false"/>
    </xf>
    <xf numFmtId="164" fontId="14" fillId="2" borderId="0" xfId="21" applyFont="true" applyBorder="true" applyAlignment="true" applyProtection="true">
      <alignment horizontal="general" vertical="bottom" textRotation="0" wrapText="false" indent="0" shrinkToFit="false"/>
      <protection locked="true" hidden="false"/>
    </xf>
    <xf numFmtId="164" fontId="20" fillId="3" borderId="1" xfId="22" applyFont="true" applyBorder="false" applyAlignment="true" applyProtection="true">
      <alignment horizontal="center" vertical="bottom" textRotation="0" wrapText="false" indent="0" shrinkToFit="false"/>
      <protection locked="true" hidden="false"/>
    </xf>
    <xf numFmtId="164" fontId="17" fillId="3" borderId="1" xfId="22" applyFont="true" applyBorder="false" applyAlignment="true" applyProtection="true">
      <alignment horizontal="center" vertical="bottom" textRotation="0" wrapText="false" indent="0" shrinkToFit="false"/>
      <protection locked="true" hidden="false"/>
    </xf>
    <xf numFmtId="164" fontId="17" fillId="3" borderId="3" xfId="22" applyFont="true" applyBorder="true" applyAlignment="true" applyProtection="true">
      <alignment horizontal="center" vertical="bottom" textRotation="0" wrapText="false" indent="0" shrinkToFit="false"/>
      <protection locked="true" hidden="false"/>
    </xf>
    <xf numFmtId="164" fontId="17" fillId="5" borderId="4" xfId="22" applyFont="true" applyBorder="true" applyAlignment="true" applyProtection="true">
      <alignment horizontal="center" vertical="bottom" textRotation="0" wrapText="false" indent="0" shrinkToFit="false"/>
      <protection locked="true" hidden="false"/>
    </xf>
    <xf numFmtId="164" fontId="17" fillId="3" borderId="0" xfId="22" applyFont="true" applyBorder="true" applyAlignment="true" applyProtection="true">
      <alignment horizontal="center" vertical="bottom" textRotation="0" wrapText="false" indent="0" shrinkToFit="false"/>
      <protection locked="true" hidden="false"/>
    </xf>
    <xf numFmtId="168"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20" fillId="3" borderId="1" xfId="22" applyFont="true" applyBorder="true" applyAlignment="true" applyProtection="tru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 name="Excel Built-in Neutral" xfId="21"/>
    <cellStyle name="Excel Built-in Check Cell" xfId="22"/>
  </cellStyles>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A6A6A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9CC00"/>
      <rgbColor rgb="FFFFC000"/>
      <rgbColor rgb="FFFF9900"/>
      <rgbColor rgb="FFFF6600"/>
      <rgbColor rgb="FF666699"/>
      <rgbColor rgb="FFA5A5A5"/>
      <rgbColor rgb="FF003366"/>
      <rgbColor rgb="FF339966"/>
      <rgbColor rgb="FF003300"/>
      <rgbColor rgb="FF333300"/>
      <rgbColor rgb="FF993300"/>
      <rgbColor rgb="FF993366"/>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194400</xdr:colOff>
      <xdr:row>0</xdr:row>
      <xdr:rowOff>148320</xdr:rowOff>
    </xdr:from>
    <xdr:to>
      <xdr:col>3</xdr:col>
      <xdr:colOff>500760</xdr:colOff>
      <xdr:row>5</xdr:row>
      <xdr:rowOff>141120</xdr:rowOff>
    </xdr:to>
    <xdr:pic>
      <xdr:nvPicPr>
        <xdr:cNvPr id="0" name="Picture 1" descr=""/>
        <xdr:cNvPicPr/>
      </xdr:nvPicPr>
      <xdr:blipFill>
        <a:blip r:embed="rId1"/>
        <a:stretch/>
      </xdr:blipFill>
      <xdr:spPr>
        <a:xfrm>
          <a:off x="194400" y="148320"/>
          <a:ext cx="2175120" cy="945360"/>
        </a:xfrm>
        <a:prstGeom prst="rect">
          <a:avLst/>
        </a:prstGeom>
        <a:ln w="0">
          <a:noFill/>
        </a:ln>
      </xdr:spPr>
    </xdr:pic>
    <xdr:clientData/>
  </xdr:twoCellAnchor>
  <xdr:twoCellAnchor editAs="oneCell">
    <xdr:from>
      <xdr:col>5</xdr:col>
      <xdr:colOff>76320</xdr:colOff>
      <xdr:row>0</xdr:row>
      <xdr:rowOff>149400</xdr:rowOff>
    </xdr:from>
    <xdr:to>
      <xdr:col>8</xdr:col>
      <xdr:colOff>429480</xdr:colOff>
      <xdr:row>5</xdr:row>
      <xdr:rowOff>80640</xdr:rowOff>
    </xdr:to>
    <xdr:pic>
      <xdr:nvPicPr>
        <xdr:cNvPr id="1" name="Picture 4" descr=""/>
        <xdr:cNvPicPr/>
      </xdr:nvPicPr>
      <xdr:blipFill>
        <a:blip r:embed="rId2"/>
        <a:stretch/>
      </xdr:blipFill>
      <xdr:spPr>
        <a:xfrm>
          <a:off x="3191040" y="149400"/>
          <a:ext cx="2221920" cy="88380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wiki.linked.earth/Linked_Paleo_Data" TargetMode="External"/><Relationship Id="rId2" Type="http://schemas.openxmlformats.org/officeDocument/2006/relationships/hyperlink" Target="http://wiki.linked.earth/" TargetMode="External"/><Relationship Id="rId3" Type="http://schemas.openxmlformats.org/officeDocument/2006/relationships/hyperlink" Target="http://wiki.linked.earth/LiPD_Utilities" TargetMode="External"/><Relationship Id="rId4" Type="http://schemas.openxmlformats.org/officeDocument/2006/relationships/hyperlink" Target="http://wiki.linked.earth/GeoChronR" TargetMode="External"/><Relationship Id="rId5" Type="http://schemas.openxmlformats.org/officeDocument/2006/relationships/hyperlink" Target="http://wiki.linked.earth/Pyleoclim" TargetMode="External"/><Relationship Id="rId6" Type="http://schemas.openxmlformats.org/officeDocument/2006/relationships/hyperlink" Target="https://www.cs.colorado.edu/~lizb/cscience.html" TargetMode="External"/><Relationship Id="rId7" Type="http://schemas.openxmlformats.org/officeDocument/2006/relationships/hyperlink" Target="https://youtu.be/b4CD_uPJbPs" TargetMode="External"/><Relationship Id="rId8"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wiki.linked.earth/Creating_a_LiPD_file" TargetMode="External"/><Relationship Id="rId2" Type="http://schemas.openxmlformats.org/officeDocument/2006/relationships/hyperlink" Target="http://wiki.linked.earth/" TargetMode="External"/><Relationship Id="rId3" Type="http://schemas.openxmlformats.org/officeDocument/2006/relationships/hyperlink" Target="http://wiki.linked.earth/Creating_a_LiPD_file" TargetMode="External"/><Relationship Id="rId4" Type="http://schemas.openxmlformats.org/officeDocument/2006/relationships/hyperlink" Target="https://nickmckay.github.io/LiPD-utilities/" TargetMode="External"/><Relationship Id="rId5" Type="http://schemas.openxmlformats.org/officeDocument/2006/relationships/hyperlink" Target="http://lipd.net/validator" TargetMode="External"/><Relationship Id="rId6" Type="http://schemas.openxmlformats.org/officeDocument/2006/relationships/hyperlink" Target="http://wiki.linked.earth/Special:WTLiPD" TargetMode="External"/><Relationship Id="rId7" Type="http://schemas.openxmlformats.org/officeDocument/2006/relationships/hyperlink" Target="https://youtu.be/b4CD_uPJb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7:I50"/>
  <sheetViews>
    <sheetView showFormulas="false" showGridLines="true" showRowColHeaders="true" showZeros="true" rightToLeft="false" tabSelected="false" showOutlineSymbols="true" defaultGridColor="true" view="normal" topLeftCell="A14" colorId="64" zoomScale="95" zoomScaleNormal="95" zoomScalePageLayoutView="100" workbookViewId="0">
      <selection pane="topLeft" activeCell="D27" activeCellId="0" sqref="D27"/>
    </sheetView>
  </sheetViews>
  <sheetFormatPr defaultColWidth="8.83984375" defaultRowHeight="15" zeroHeight="false" outlineLevelRow="0" outlineLevelCol="0"/>
  <cols>
    <col collapsed="false" customWidth="false" hidden="false" outlineLevel="0" max="1024" min="1" style="1" width="8.83"/>
  </cols>
  <sheetData>
    <row r="7" customFormat="false" ht="19" hidden="false" customHeight="false" outlineLevel="0" collapsed="false">
      <c r="A7" s="2" t="s">
        <v>0</v>
      </c>
      <c r="B7" s="2"/>
      <c r="C7" s="2"/>
      <c r="D7" s="2"/>
      <c r="E7" s="2"/>
      <c r="F7" s="2"/>
      <c r="G7" s="2"/>
      <c r="H7" s="2"/>
      <c r="I7" s="2"/>
    </row>
    <row r="9" customFormat="false" ht="15" hidden="false" customHeight="false" outlineLevel="0" collapsed="false">
      <c r="A9" s="1" t="s">
        <v>1</v>
      </c>
    </row>
    <row r="10" customFormat="false" ht="15" hidden="false" customHeight="false" outlineLevel="0" collapsed="false">
      <c r="A10" s="1" t="s">
        <v>2</v>
      </c>
    </row>
    <row r="11" customFormat="false" ht="15" hidden="false" customHeight="false" outlineLevel="0" collapsed="false">
      <c r="A11" s="1" t="s">
        <v>3</v>
      </c>
    </row>
    <row r="13" customFormat="false" ht="15" hidden="false" customHeight="false" outlineLevel="0" collapsed="false">
      <c r="A13" s="1" t="s">
        <v>4</v>
      </c>
      <c r="D13" s="3" t="s">
        <v>5</v>
      </c>
    </row>
    <row r="15" customFormat="false" ht="19" hidden="false" customHeight="false" outlineLevel="0" collapsed="false">
      <c r="A15" s="4" t="s">
        <v>6</v>
      </c>
      <c r="B15" s="4"/>
      <c r="C15" s="4"/>
      <c r="D15" s="4"/>
      <c r="E15" s="4"/>
      <c r="F15" s="4"/>
      <c r="G15" s="4"/>
      <c r="H15" s="4"/>
      <c r="I15" s="4"/>
    </row>
    <row r="17" customFormat="false" ht="15" hidden="false" customHeight="false" outlineLevel="0" collapsed="false">
      <c r="A17" s="1" t="s">
        <v>7</v>
      </c>
    </row>
    <row r="18" customFormat="false" ht="15" hidden="false" customHeight="false" outlineLevel="0" collapsed="false">
      <c r="A18" s="1" t="s">
        <v>8</v>
      </c>
    </row>
    <row r="19" customFormat="false" ht="15" hidden="false" customHeight="false" outlineLevel="0" collapsed="false">
      <c r="A19" s="1" t="s">
        <v>9</v>
      </c>
    </row>
    <row r="20" customFormat="false" ht="15" hidden="false" customHeight="false" outlineLevel="0" collapsed="false">
      <c r="A20" s="1" t="s">
        <v>10</v>
      </c>
    </row>
    <row r="21" customFormat="false" ht="15" hidden="false" customHeight="false" outlineLevel="0" collapsed="false">
      <c r="A21" s="1" t="s">
        <v>11</v>
      </c>
    </row>
    <row r="23" customFormat="false" ht="15" hidden="false" customHeight="false" outlineLevel="0" collapsed="false">
      <c r="A23" s="1" t="s">
        <v>12</v>
      </c>
    </row>
    <row r="24" customFormat="false" ht="15" hidden="false" customHeight="false" outlineLevel="0" collapsed="false">
      <c r="A24" s="1" t="s">
        <v>13</v>
      </c>
      <c r="E24" s="3" t="s">
        <v>14</v>
      </c>
    </row>
    <row r="26" customFormat="false" ht="15" hidden="false" customHeight="false" outlineLevel="0" collapsed="false">
      <c r="A26" s="1" t="s">
        <v>15</v>
      </c>
    </row>
    <row r="27" customFormat="false" ht="15" hidden="false" customHeight="false" outlineLevel="0" collapsed="false">
      <c r="A27" s="1" t="s">
        <v>4</v>
      </c>
      <c r="D27" s="3" t="s">
        <v>16</v>
      </c>
    </row>
    <row r="29" customFormat="false" ht="19" hidden="false" customHeight="false" outlineLevel="0" collapsed="false">
      <c r="A29" s="4" t="s">
        <v>17</v>
      </c>
      <c r="B29" s="4"/>
      <c r="C29" s="4"/>
      <c r="D29" s="4"/>
      <c r="E29" s="4"/>
      <c r="F29" s="4"/>
      <c r="G29" s="4"/>
      <c r="H29" s="4"/>
      <c r="I29" s="4"/>
    </row>
    <row r="31" customFormat="false" ht="15" hidden="false" customHeight="false" outlineLevel="0" collapsed="false">
      <c r="A31" s="1" t="s">
        <v>18</v>
      </c>
    </row>
    <row r="32" customFormat="false" ht="15" hidden="false" customHeight="false" outlineLevel="0" collapsed="false">
      <c r="A32" s="1" t="s">
        <v>19</v>
      </c>
    </row>
    <row r="33" customFormat="false" ht="15" hidden="false" customHeight="false" outlineLevel="0" collapsed="false">
      <c r="A33" s="1" t="s">
        <v>20</v>
      </c>
      <c r="E33" s="3" t="s">
        <v>21</v>
      </c>
    </row>
    <row r="34" customFormat="false" ht="15" hidden="false" customHeight="false" outlineLevel="0" collapsed="false">
      <c r="A34" s="1" t="s">
        <v>22</v>
      </c>
      <c r="E34" s="3" t="s">
        <v>23</v>
      </c>
    </row>
    <row r="36" customFormat="false" ht="15" hidden="false" customHeight="false" outlineLevel="0" collapsed="false">
      <c r="A36" s="1" t="s">
        <v>24</v>
      </c>
    </row>
    <row r="37" customFormat="false" ht="15" hidden="false" customHeight="false" outlineLevel="0" collapsed="false">
      <c r="A37" s="1" t="s">
        <v>25</v>
      </c>
      <c r="E37" s="3" t="s">
        <v>26</v>
      </c>
    </row>
    <row r="39" customFormat="false" ht="19" hidden="false" customHeight="false" outlineLevel="0" collapsed="false">
      <c r="A39" s="4" t="s">
        <v>27</v>
      </c>
      <c r="B39" s="4"/>
      <c r="C39" s="4"/>
      <c r="D39" s="4"/>
      <c r="E39" s="4"/>
      <c r="F39" s="4"/>
      <c r="G39" s="4"/>
      <c r="H39" s="4"/>
      <c r="I39" s="4"/>
    </row>
    <row r="41" customFormat="false" ht="15" hidden="false" customHeight="false" outlineLevel="0" collapsed="false">
      <c r="A41" s="1" t="s">
        <v>28</v>
      </c>
    </row>
    <row r="42" customFormat="false" ht="15" hidden="false" customHeight="false" outlineLevel="0" collapsed="false">
      <c r="A42" s="1" t="s">
        <v>29</v>
      </c>
    </row>
    <row r="44" customFormat="false" ht="15" hidden="false" customHeight="false" outlineLevel="0" collapsed="false">
      <c r="A44" s="1" t="s">
        <v>30</v>
      </c>
    </row>
    <row r="45" customFormat="false" ht="15" hidden="false" customHeight="false" outlineLevel="0" collapsed="false">
      <c r="A45" s="1" t="s">
        <v>31</v>
      </c>
      <c r="C45" s="3" t="s">
        <v>32</v>
      </c>
    </row>
    <row r="47" customFormat="false" ht="15" hidden="false" customHeight="false" outlineLevel="0" collapsed="false">
      <c r="A47" s="1" t="s">
        <v>33</v>
      </c>
    </row>
    <row r="48" customFormat="false" ht="15" hidden="false" customHeight="false" outlineLevel="0" collapsed="false">
      <c r="A48" s="1" t="s">
        <v>34</v>
      </c>
    </row>
    <row r="50" customFormat="false" ht="15" hidden="false" customHeight="false" outlineLevel="0" collapsed="false">
      <c r="A50" s="1" t="s">
        <v>35</v>
      </c>
    </row>
  </sheetData>
  <mergeCells count="4">
    <mergeCell ref="A7:I7"/>
    <mergeCell ref="A15:I15"/>
    <mergeCell ref="A29:I29"/>
    <mergeCell ref="A39:I39"/>
  </mergeCells>
  <hyperlinks>
    <hyperlink ref="D13" r:id="rId1" display="http://wiki.linked.earth/Linked_Paleo_Data"/>
    <hyperlink ref="E24" r:id="rId2" display="http://wiki.linked.earth"/>
    <hyperlink ref="D27" r:id="rId3" display="http://wiki.linked.earth/LiPD_Utilities"/>
    <hyperlink ref="E33" r:id="rId4" display="http://wiki.linked.earth/GeoChronR"/>
    <hyperlink ref="E34" r:id="rId5" display="http://wiki.linked.earth/Pyleoclim"/>
    <hyperlink ref="E37" r:id="rId6" display="https://www.cs.colorado.edu/~lizb/cscience.html"/>
    <hyperlink ref="C45" r:id="rId7" display="https://youtu.be/b4CD_uPJbPs"/>
  </hyperlink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35"/>
  <sheetViews>
    <sheetView showFormulas="false" showGridLines="true" showRowColHeaders="true" showZeros="true" rightToLeft="false" tabSelected="false" showOutlineSymbols="true" defaultGridColor="true" view="normal" topLeftCell="A117" colorId="64" zoomScale="95" zoomScaleNormal="95" zoomScalePageLayoutView="100" workbookViewId="0">
      <selection pane="topLeft" activeCell="E124" activeCellId="0" sqref="E124"/>
    </sheetView>
  </sheetViews>
  <sheetFormatPr defaultColWidth="10.94140625" defaultRowHeight="15" zeroHeight="false" outlineLevelRow="0" outlineLevelCol="0"/>
  <sheetData>
    <row r="1" s="1" customFormat="true" ht="15" hidden="false" customHeight="false" outlineLevel="0" collapsed="false">
      <c r="A1" s="5" t="s">
        <v>36</v>
      </c>
      <c r="B1" s="5"/>
      <c r="C1" s="5"/>
      <c r="D1" s="5"/>
      <c r="E1" s="5"/>
      <c r="F1" s="5"/>
      <c r="G1" s="5"/>
      <c r="H1" s="5"/>
      <c r="I1" s="5"/>
    </row>
    <row r="2" s="1" customFormat="true" ht="15" hidden="false" customHeight="false" outlineLevel="0" collapsed="false">
      <c r="A2" s="6" t="s">
        <v>37</v>
      </c>
      <c r="B2" s="7"/>
      <c r="C2" s="7"/>
      <c r="D2" s="8" t="s">
        <v>38</v>
      </c>
      <c r="E2" s="7"/>
      <c r="F2" s="7"/>
      <c r="G2" s="7"/>
      <c r="H2" s="7"/>
      <c r="I2" s="7"/>
    </row>
    <row r="3" s="1" customFormat="true" ht="15" hidden="false" customHeight="false" outlineLevel="0" collapsed="false">
      <c r="A3" s="6" t="s">
        <v>39</v>
      </c>
      <c r="B3" s="7"/>
      <c r="C3" s="7"/>
      <c r="D3" s="7"/>
      <c r="E3" s="7"/>
      <c r="F3" s="7"/>
      <c r="G3" s="7"/>
      <c r="H3" s="7"/>
      <c r="I3" s="7"/>
    </row>
    <row r="4" s="1" customFormat="true" ht="15" hidden="false" customHeight="false" outlineLevel="0" collapsed="false">
      <c r="A4" s="6" t="s">
        <v>40</v>
      </c>
      <c r="B4" s="7"/>
      <c r="C4" s="7"/>
      <c r="D4" s="7"/>
      <c r="E4" s="7"/>
      <c r="F4" s="7"/>
      <c r="G4" s="7"/>
      <c r="H4" s="7"/>
      <c r="I4" s="7"/>
    </row>
    <row r="5" s="1" customFormat="true" ht="15" hidden="false" customHeight="false" outlineLevel="0" collapsed="false">
      <c r="A5" s="6" t="s">
        <v>41</v>
      </c>
      <c r="B5" s="7"/>
      <c r="C5" s="7"/>
      <c r="D5" s="7"/>
      <c r="E5" s="7"/>
      <c r="F5" s="7"/>
      <c r="G5" s="7"/>
      <c r="H5" s="7"/>
      <c r="I5" s="7"/>
    </row>
    <row r="6" s="1" customFormat="true" ht="15" hidden="false" customHeight="false" outlineLevel="0" collapsed="false">
      <c r="A6" s="7"/>
      <c r="B6" s="7"/>
      <c r="C6" s="7"/>
      <c r="D6" s="7"/>
      <c r="E6" s="7"/>
      <c r="F6" s="7"/>
      <c r="G6" s="7"/>
      <c r="H6" s="7"/>
      <c r="I6" s="7"/>
    </row>
    <row r="7" s="1" customFormat="true" ht="15" hidden="false" customHeight="false" outlineLevel="0" collapsed="false">
      <c r="A7" s="9" t="s">
        <v>42</v>
      </c>
    </row>
    <row r="8" s="1" customFormat="true" ht="15" hidden="false" customHeight="false" outlineLevel="0" collapsed="false">
      <c r="A8" s="1" t="s">
        <v>43</v>
      </c>
    </row>
    <row r="9" s="1" customFormat="true" ht="15" hidden="false" customHeight="false" outlineLevel="0" collapsed="false">
      <c r="A9" s="1" t="s">
        <v>44</v>
      </c>
    </row>
    <row r="10" s="1" customFormat="true" ht="15" hidden="false" customHeight="false" outlineLevel="0" collapsed="false">
      <c r="A10" s="1" t="s">
        <v>45</v>
      </c>
    </row>
    <row r="11" s="1" customFormat="true" ht="15" hidden="false" customHeight="false" outlineLevel="0" collapsed="false">
      <c r="A11" s="1" t="s">
        <v>46</v>
      </c>
    </row>
    <row r="12" s="1" customFormat="true" ht="15" hidden="false" customHeight="false" outlineLevel="0" collapsed="false">
      <c r="A12" s="1" t="s">
        <v>47</v>
      </c>
    </row>
    <row r="13" s="1" customFormat="true" ht="15" hidden="false" customHeight="false" outlineLevel="0" collapsed="false">
      <c r="A13" s="1" t="s">
        <v>48</v>
      </c>
    </row>
    <row r="14" s="1" customFormat="true" ht="15" hidden="false" customHeight="false" outlineLevel="0" collapsed="false"/>
    <row r="15" s="1" customFormat="true" ht="15" hidden="false" customHeight="false" outlineLevel="0" collapsed="false"/>
    <row r="16" s="1" customFormat="true" ht="15" hidden="false" customHeight="false" outlineLevel="0" collapsed="false">
      <c r="A16" s="10" t="s">
        <v>49</v>
      </c>
    </row>
    <row r="17" s="1" customFormat="true" ht="15" hidden="false" customHeight="false" outlineLevel="0" collapsed="false">
      <c r="A17" s="1" t="s">
        <v>50</v>
      </c>
    </row>
    <row r="18" s="1" customFormat="true" ht="15" hidden="false" customHeight="false" outlineLevel="0" collapsed="false">
      <c r="A18" s="1" t="s">
        <v>51</v>
      </c>
    </row>
    <row r="19" s="1" customFormat="true" ht="15" hidden="false" customHeight="false" outlineLevel="0" collapsed="false">
      <c r="A19" s="1" t="s">
        <v>52</v>
      </c>
    </row>
    <row r="20" s="1" customFormat="true" ht="15" hidden="false" customHeight="false" outlineLevel="0" collapsed="false">
      <c r="A20" s="1" t="s">
        <v>53</v>
      </c>
    </row>
    <row r="21" s="1" customFormat="true" ht="15" hidden="false" customHeight="false" outlineLevel="0" collapsed="false">
      <c r="A21" s="1" t="s">
        <v>54</v>
      </c>
    </row>
    <row r="22" s="1" customFormat="true" ht="15" hidden="false" customHeight="false" outlineLevel="0" collapsed="false">
      <c r="A22" s="1" t="s">
        <v>55</v>
      </c>
    </row>
    <row r="23" s="1" customFormat="true" ht="15" hidden="false" customHeight="false" outlineLevel="0" collapsed="false">
      <c r="A23" s="1" t="s">
        <v>56</v>
      </c>
    </row>
    <row r="24" s="1" customFormat="true" ht="15" hidden="false" customHeight="false" outlineLevel="0" collapsed="false">
      <c r="A24" s="1" t="s">
        <v>57</v>
      </c>
    </row>
    <row r="25" s="1" customFormat="true" ht="15" hidden="false" customHeight="false" outlineLevel="0" collapsed="false">
      <c r="A25" s="1" t="s">
        <v>58</v>
      </c>
    </row>
    <row r="26" s="1" customFormat="true" ht="15" hidden="false" customHeight="false" outlineLevel="0" collapsed="false"/>
    <row r="27" s="1" customFormat="true" ht="15" hidden="false" customHeight="false" outlineLevel="0" collapsed="false">
      <c r="A27" s="1" t="s">
        <v>59</v>
      </c>
    </row>
    <row r="28" s="1" customFormat="true" ht="15" hidden="false" customHeight="false" outlineLevel="0" collapsed="false">
      <c r="A28" s="1" t="s">
        <v>60</v>
      </c>
    </row>
    <row r="29" s="1" customFormat="true" ht="15" hidden="false" customHeight="false" outlineLevel="0" collapsed="false">
      <c r="A29" s="1" t="s">
        <v>61</v>
      </c>
    </row>
    <row r="30" s="1" customFormat="true" ht="15" hidden="false" customHeight="false" outlineLevel="0" collapsed="false">
      <c r="A30" s="1" t="s">
        <v>62</v>
      </c>
    </row>
    <row r="31" s="1" customFormat="true" ht="15" hidden="false" customHeight="false" outlineLevel="0" collapsed="false">
      <c r="A31" s="1" t="s">
        <v>63</v>
      </c>
    </row>
    <row r="32" s="1" customFormat="true" ht="15" hidden="false" customHeight="false" outlineLevel="0" collapsed="false"/>
    <row r="33" s="1" customFormat="true" ht="15" hidden="false" customHeight="false" outlineLevel="0" collapsed="false">
      <c r="A33" s="9" t="s">
        <v>64</v>
      </c>
    </row>
    <row r="34" s="1" customFormat="true" ht="15" hidden="false" customHeight="false" outlineLevel="0" collapsed="false">
      <c r="A34" s="11" t="s">
        <v>65</v>
      </c>
    </row>
    <row r="35" s="1" customFormat="true" ht="15" hidden="false" customHeight="false" outlineLevel="0" collapsed="false">
      <c r="A35" s="1" t="s">
        <v>66</v>
      </c>
    </row>
    <row r="36" s="1" customFormat="true" ht="15" hidden="false" customHeight="false" outlineLevel="0" collapsed="false"/>
    <row r="37" s="1" customFormat="true" ht="15" hidden="false" customHeight="false" outlineLevel="0" collapsed="false">
      <c r="A37" s="1" t="s">
        <v>67</v>
      </c>
    </row>
    <row r="38" s="1" customFormat="true" ht="15" hidden="false" customHeight="false" outlineLevel="0" collapsed="false">
      <c r="A38" s="1" t="s">
        <v>68</v>
      </c>
    </row>
    <row r="39" s="1" customFormat="true" ht="15" hidden="false" customHeight="false" outlineLevel="0" collapsed="false">
      <c r="A39" s="1" t="s">
        <v>69</v>
      </c>
    </row>
    <row r="40" s="1" customFormat="true" ht="15" hidden="false" customHeight="false" outlineLevel="0" collapsed="false">
      <c r="A40" s="1" t="s">
        <v>70</v>
      </c>
    </row>
    <row r="41" s="1" customFormat="true" ht="15" hidden="false" customHeight="false" outlineLevel="0" collapsed="false"/>
    <row r="42" s="1" customFormat="true" ht="15" hidden="false" customHeight="false" outlineLevel="0" collapsed="false">
      <c r="A42" s="5" t="s">
        <v>71</v>
      </c>
      <c r="B42" s="5"/>
      <c r="C42" s="5"/>
      <c r="D42" s="5"/>
      <c r="E42" s="5"/>
      <c r="F42" s="5"/>
      <c r="G42" s="5"/>
      <c r="H42" s="5"/>
      <c r="I42" s="5"/>
    </row>
    <row r="43" s="1" customFormat="true" ht="15" hidden="false" customHeight="false" outlineLevel="0" collapsed="false"/>
    <row r="44" s="1" customFormat="true" ht="15" hidden="false" customHeight="false" outlineLevel="0" collapsed="false">
      <c r="A44" s="1" t="s">
        <v>72</v>
      </c>
    </row>
    <row r="45" s="1" customFormat="true" ht="15" hidden="false" customHeight="false" outlineLevel="0" collapsed="false">
      <c r="A45" s="1" t="s">
        <v>73</v>
      </c>
    </row>
    <row r="46" s="1" customFormat="true" ht="15" hidden="false" customHeight="false" outlineLevel="0" collapsed="false"/>
    <row r="47" s="1" customFormat="true" ht="15" hidden="false" customHeight="false" outlineLevel="0" collapsed="false">
      <c r="A47" s="12" t="s">
        <v>74</v>
      </c>
    </row>
    <row r="48" s="1" customFormat="true" ht="15" hidden="false" customHeight="false" outlineLevel="0" collapsed="false"/>
    <row r="49" s="1" customFormat="true" ht="15" hidden="false" customHeight="false" outlineLevel="0" collapsed="false">
      <c r="A49" s="1" t="s">
        <v>75</v>
      </c>
    </row>
    <row r="50" s="1" customFormat="true" ht="15" hidden="false" customHeight="false" outlineLevel="0" collapsed="false">
      <c r="A50" s="1" t="s">
        <v>76</v>
      </c>
    </row>
    <row r="51" s="1" customFormat="true" ht="15" hidden="false" customHeight="false" outlineLevel="0" collapsed="false">
      <c r="A51" s="1" t="s">
        <v>77</v>
      </c>
    </row>
    <row r="52" s="1" customFormat="true" ht="15" hidden="false" customHeight="false" outlineLevel="0" collapsed="false"/>
    <row r="53" s="1" customFormat="true" ht="15" hidden="false" customHeight="false" outlineLevel="0" collapsed="false">
      <c r="A53" s="1" t="s">
        <v>78</v>
      </c>
    </row>
    <row r="54" s="1" customFormat="true" ht="15" hidden="false" customHeight="false" outlineLevel="0" collapsed="false">
      <c r="A54" s="1" t="s">
        <v>79</v>
      </c>
    </row>
    <row r="55" s="1" customFormat="true" ht="15" hidden="false" customHeight="false" outlineLevel="0" collapsed="false">
      <c r="A55" s="1" t="s">
        <v>80</v>
      </c>
      <c r="F55" s="3" t="s">
        <v>14</v>
      </c>
    </row>
    <row r="56" s="1" customFormat="true" ht="15" hidden="false" customHeight="false" outlineLevel="0" collapsed="false"/>
    <row r="57" s="1" customFormat="true" ht="15" hidden="false" customHeight="false" outlineLevel="0" collapsed="false">
      <c r="A57" s="10" t="s">
        <v>81</v>
      </c>
    </row>
    <row r="58" s="1" customFormat="true" ht="15" hidden="false" customHeight="false" outlineLevel="0" collapsed="false">
      <c r="A58" s="1" t="s">
        <v>82</v>
      </c>
    </row>
    <row r="59" s="1" customFormat="true" ht="15" hidden="false" customHeight="false" outlineLevel="0" collapsed="false">
      <c r="A59" s="1" t="s">
        <v>83</v>
      </c>
    </row>
    <row r="60" s="1" customFormat="true" ht="15" hidden="false" customHeight="false" outlineLevel="0" collapsed="false"/>
    <row r="61" s="1" customFormat="true" ht="15" hidden="false" customHeight="false" outlineLevel="0" collapsed="false">
      <c r="A61" s="13" t="s">
        <v>84</v>
      </c>
    </row>
    <row r="62" s="1" customFormat="true" ht="15" hidden="false" customHeight="false" outlineLevel="0" collapsed="false">
      <c r="A62" s="1" t="s">
        <v>85</v>
      </c>
    </row>
    <row r="63" s="1" customFormat="true" ht="15" hidden="false" customHeight="false" outlineLevel="0" collapsed="false">
      <c r="A63" s="1" t="s">
        <v>86</v>
      </c>
    </row>
    <row r="64" s="1" customFormat="true" ht="15" hidden="false" customHeight="false" outlineLevel="0" collapsed="false">
      <c r="A64" s="1" t="s">
        <v>87</v>
      </c>
    </row>
    <row r="65" s="1" customFormat="true" ht="15" hidden="false" customHeight="false" outlineLevel="0" collapsed="false">
      <c r="A65" s="1" t="s">
        <v>88</v>
      </c>
    </row>
    <row r="66" s="1" customFormat="true" ht="15" hidden="false" customHeight="false" outlineLevel="0" collapsed="false">
      <c r="A66" s="1" t="s">
        <v>89</v>
      </c>
    </row>
    <row r="67" s="1" customFormat="true" ht="15" hidden="false" customHeight="false" outlineLevel="0" collapsed="false">
      <c r="A67" s="1" t="s">
        <v>90</v>
      </c>
    </row>
    <row r="68" s="1" customFormat="true" ht="15" hidden="false" customHeight="false" outlineLevel="0" collapsed="false">
      <c r="A68" s="1" t="s">
        <v>91</v>
      </c>
    </row>
    <row r="69" s="1" customFormat="true" ht="15" hidden="false" customHeight="false" outlineLevel="0" collapsed="false"/>
    <row r="70" s="1" customFormat="true" ht="15" hidden="false" customHeight="false" outlineLevel="0" collapsed="false">
      <c r="A70" s="1" t="s">
        <v>92</v>
      </c>
    </row>
    <row r="71" s="1" customFormat="true" ht="15" hidden="false" customHeight="false" outlineLevel="0" collapsed="false">
      <c r="A71" s="1" t="s">
        <v>93</v>
      </c>
    </row>
    <row r="72" s="1" customFormat="true" ht="15" hidden="false" customHeight="false" outlineLevel="0" collapsed="false">
      <c r="A72" s="1" t="s">
        <v>94</v>
      </c>
    </row>
    <row r="73" s="1" customFormat="true" ht="15" hidden="false" customHeight="false" outlineLevel="0" collapsed="false">
      <c r="A73" s="1" t="s">
        <v>95</v>
      </c>
    </row>
    <row r="74" s="1" customFormat="true" ht="15" hidden="false" customHeight="false" outlineLevel="0" collapsed="false"/>
    <row r="75" s="1" customFormat="true" ht="15" hidden="false" customHeight="false" outlineLevel="0" collapsed="false">
      <c r="A75" s="10" t="s">
        <v>96</v>
      </c>
    </row>
    <row r="76" s="1" customFormat="true" ht="15" hidden="false" customHeight="false" outlineLevel="0" collapsed="false">
      <c r="A76" s="1" t="s">
        <v>97</v>
      </c>
    </row>
    <row r="77" s="1" customFormat="true" ht="15" hidden="false" customHeight="false" outlineLevel="0" collapsed="false">
      <c r="A77" s="1" t="s">
        <v>98</v>
      </c>
    </row>
    <row r="78" s="1" customFormat="true" ht="15" hidden="false" customHeight="false" outlineLevel="0" collapsed="false">
      <c r="A78" s="1" t="s">
        <v>99</v>
      </c>
    </row>
    <row r="79" s="1" customFormat="true" ht="15" hidden="false" customHeight="false" outlineLevel="0" collapsed="false">
      <c r="A79" s="12" t="s">
        <v>100</v>
      </c>
    </row>
    <row r="80" s="1" customFormat="true" ht="15" hidden="false" customHeight="false" outlineLevel="0" collapsed="false">
      <c r="A80" s="1" t="s">
        <v>101</v>
      </c>
    </row>
    <row r="81" s="1" customFormat="true" ht="15" hidden="false" customHeight="false" outlineLevel="0" collapsed="false"/>
    <row r="82" s="1" customFormat="true" ht="15" hidden="false" customHeight="false" outlineLevel="0" collapsed="false">
      <c r="A82" s="1" t="s">
        <v>102</v>
      </c>
    </row>
    <row r="83" s="1" customFormat="true" ht="15" hidden="false" customHeight="false" outlineLevel="0" collapsed="false">
      <c r="A83" s="1" t="s">
        <v>103</v>
      </c>
    </row>
    <row r="84" s="1" customFormat="true" ht="15" hidden="false" customHeight="false" outlineLevel="0" collapsed="false">
      <c r="A84" s="1" t="s">
        <v>104</v>
      </c>
    </row>
    <row r="85" s="1" customFormat="true" ht="15" hidden="false" customHeight="false" outlineLevel="0" collapsed="false">
      <c r="A85" s="1" t="s">
        <v>105</v>
      </c>
    </row>
    <row r="86" s="1" customFormat="true" ht="15" hidden="false" customHeight="false" outlineLevel="0" collapsed="false"/>
    <row r="87" s="1" customFormat="true" ht="15" hidden="false" customHeight="false" outlineLevel="0" collapsed="false">
      <c r="A87" s="1" t="s">
        <v>106</v>
      </c>
    </row>
    <row r="88" s="1" customFormat="true" ht="15" hidden="false" customHeight="false" outlineLevel="0" collapsed="false">
      <c r="A88" s="1" t="s">
        <v>107</v>
      </c>
    </row>
    <row r="89" s="1" customFormat="true" ht="15" hidden="false" customHeight="false" outlineLevel="0" collapsed="false"/>
    <row r="90" s="1" customFormat="true" ht="15" hidden="false" customHeight="false" outlineLevel="0" collapsed="false">
      <c r="A90" s="1" t="s">
        <v>108</v>
      </c>
    </row>
    <row r="91" s="1" customFormat="true" ht="15" hidden="false" customHeight="false" outlineLevel="0" collapsed="false">
      <c r="A91" s="12" t="s">
        <v>109</v>
      </c>
    </row>
    <row r="92" s="1" customFormat="true" ht="15" hidden="false" customHeight="false" outlineLevel="0" collapsed="false"/>
    <row r="93" s="1" customFormat="true" ht="15" hidden="false" customHeight="false" outlineLevel="0" collapsed="false">
      <c r="A93" s="1" t="s">
        <v>110</v>
      </c>
    </row>
    <row r="94" s="1" customFormat="true" ht="15" hidden="false" customHeight="false" outlineLevel="0" collapsed="false"/>
    <row r="95" s="1" customFormat="true" ht="15" hidden="false" customHeight="false" outlineLevel="0" collapsed="false">
      <c r="A95" s="1" t="s">
        <v>111</v>
      </c>
    </row>
    <row r="96" s="1" customFormat="true" ht="15" hidden="false" customHeight="false" outlineLevel="0" collapsed="false">
      <c r="A96" s="3" t="s">
        <v>112</v>
      </c>
    </row>
    <row r="97" s="1" customFormat="true" ht="15" hidden="false" customHeight="false" outlineLevel="0" collapsed="false"/>
    <row r="98" s="1" customFormat="true" ht="15" hidden="false" customHeight="false" outlineLevel="0" collapsed="false">
      <c r="A98" s="5" t="s">
        <v>113</v>
      </c>
      <c r="B98" s="5"/>
      <c r="C98" s="5"/>
      <c r="D98" s="5"/>
      <c r="E98" s="5"/>
      <c r="F98" s="5"/>
      <c r="G98" s="5"/>
      <c r="H98" s="5"/>
      <c r="I98" s="5"/>
    </row>
    <row r="99" s="1" customFormat="true" ht="15" hidden="false" customHeight="false" outlineLevel="0" collapsed="false"/>
    <row r="100" s="1" customFormat="true" ht="15" hidden="false" customHeight="false" outlineLevel="0" collapsed="false">
      <c r="A100" s="1" t="s">
        <v>114</v>
      </c>
    </row>
    <row r="101" s="1" customFormat="true" ht="15" hidden="false" customHeight="false" outlineLevel="0" collapsed="false"/>
    <row r="102" s="1" customFormat="true" ht="15" hidden="false" customHeight="false" outlineLevel="0" collapsed="false">
      <c r="A102" s="9" t="s">
        <v>115</v>
      </c>
    </row>
    <row r="103" s="1" customFormat="true" ht="15" hidden="false" customHeight="false" outlineLevel="0" collapsed="false">
      <c r="A103" s="1" t="s">
        <v>116</v>
      </c>
    </row>
    <row r="104" s="1" customFormat="true" ht="15" hidden="false" customHeight="false" outlineLevel="0" collapsed="false"/>
    <row r="105" s="1" customFormat="true" ht="15" hidden="false" customHeight="false" outlineLevel="0" collapsed="false">
      <c r="A105" s="1" t="s">
        <v>117</v>
      </c>
    </row>
    <row r="106" s="1" customFormat="true" ht="15" hidden="false" customHeight="false" outlineLevel="0" collapsed="false">
      <c r="A106" s="14" t="s">
        <v>118</v>
      </c>
    </row>
    <row r="107" s="1" customFormat="true" ht="15" hidden="false" customHeight="false" outlineLevel="0" collapsed="false"/>
    <row r="108" s="1" customFormat="true" ht="14" hidden="false" customHeight="true" outlineLevel="0" collapsed="false">
      <c r="A108" s="1" t="s">
        <v>119</v>
      </c>
      <c r="C108" s="3" t="s">
        <v>120</v>
      </c>
    </row>
    <row r="109" s="1" customFormat="true" ht="15" hidden="false" customHeight="false" outlineLevel="0" collapsed="false"/>
    <row r="110" s="1" customFormat="true" ht="15" hidden="false" customHeight="false" outlineLevel="0" collapsed="false">
      <c r="A110" s="9" t="s">
        <v>121</v>
      </c>
    </row>
    <row r="111" s="1" customFormat="true" ht="15" hidden="false" customHeight="false" outlineLevel="0" collapsed="false">
      <c r="A111" s="1" t="s">
        <v>122</v>
      </c>
    </row>
    <row r="112" s="1" customFormat="true" ht="15" hidden="false" customHeight="false" outlineLevel="0" collapsed="false">
      <c r="A112" s="14" t="s">
        <v>123</v>
      </c>
      <c r="D112" s="1" t="s">
        <v>124</v>
      </c>
    </row>
    <row r="113" s="1" customFormat="true" ht="15" hidden="false" customHeight="false" outlineLevel="0" collapsed="false">
      <c r="A113" s="14" t="s">
        <v>125</v>
      </c>
      <c r="D113" s="1" t="s">
        <v>126</v>
      </c>
    </row>
    <row r="114" s="1" customFormat="true" ht="15" hidden="false" customHeight="false" outlineLevel="0" collapsed="false">
      <c r="D114" s="1" t="s">
        <v>127</v>
      </c>
    </row>
    <row r="115" s="1" customFormat="true" ht="15" hidden="false" customHeight="false" outlineLevel="0" collapsed="false">
      <c r="A115" s="14" t="s">
        <v>128</v>
      </c>
      <c r="D115" s="1" t="s">
        <v>129</v>
      </c>
    </row>
    <row r="116" s="1" customFormat="true" ht="15" hidden="false" customHeight="false" outlineLevel="0" collapsed="false"/>
    <row r="117" s="1" customFormat="true" ht="15" hidden="false" customHeight="false" outlineLevel="0" collapsed="false">
      <c r="A117" s="1" t="s">
        <v>130</v>
      </c>
      <c r="D117" s="1" t="s">
        <v>131</v>
      </c>
    </row>
    <row r="118" s="1" customFormat="true" ht="15" hidden="false" customHeight="false" outlineLevel="0" collapsed="false"/>
    <row r="119" s="1" customFormat="true" ht="15" hidden="false" customHeight="false" outlineLevel="0" collapsed="false">
      <c r="A119" s="1" t="s">
        <v>132</v>
      </c>
    </row>
    <row r="120" s="1" customFormat="true" ht="15" hidden="false" customHeight="false" outlineLevel="0" collapsed="false">
      <c r="A120" s="3" t="s">
        <v>133</v>
      </c>
    </row>
    <row r="121" s="1" customFormat="true" ht="15" hidden="false" customHeight="false" outlineLevel="0" collapsed="false"/>
    <row r="122" s="1" customFormat="true" ht="15" hidden="false" customHeight="false" outlineLevel="0" collapsed="false"/>
    <row r="123" s="1" customFormat="true" ht="15" hidden="false" customHeight="false" outlineLevel="0" collapsed="false">
      <c r="A123" s="15" t="s">
        <v>134</v>
      </c>
      <c r="B123" s="15"/>
      <c r="C123" s="15"/>
      <c r="D123" s="15"/>
      <c r="E123" s="15"/>
      <c r="F123" s="15"/>
      <c r="G123" s="15"/>
    </row>
    <row r="124" s="1" customFormat="true" ht="15" hidden="false" customHeight="false" outlineLevel="0" collapsed="false"/>
    <row r="125" s="1" customFormat="true" ht="15" hidden="false" customHeight="false" outlineLevel="0" collapsed="false">
      <c r="A125" s="1" t="s">
        <v>135</v>
      </c>
      <c r="F125" s="3" t="s">
        <v>136</v>
      </c>
    </row>
    <row r="126" s="1" customFormat="true" ht="15" hidden="false" customHeight="false" outlineLevel="0" collapsed="false">
      <c r="A126" s="1" t="s">
        <v>137</v>
      </c>
      <c r="H126" s="7"/>
      <c r="I126" s="7"/>
    </row>
    <row r="127" s="1" customFormat="true" ht="15" hidden="false" customHeight="false" outlineLevel="0" collapsed="false">
      <c r="A127" s="1" t="s">
        <v>138</v>
      </c>
    </row>
    <row r="128" s="1" customFormat="true" ht="15" hidden="false" customHeight="false" outlineLevel="0" collapsed="false"/>
    <row r="129" s="1" customFormat="true" ht="15" hidden="false" customHeight="false" outlineLevel="0" collapsed="false">
      <c r="A129" s="1" t="s">
        <v>139</v>
      </c>
    </row>
    <row r="130" s="1" customFormat="true" ht="15" hidden="false" customHeight="false" outlineLevel="0" collapsed="false">
      <c r="A130" s="1" t="s">
        <v>140</v>
      </c>
    </row>
    <row r="131" s="1" customFormat="true" ht="15" hidden="false" customHeight="false" outlineLevel="0" collapsed="false"/>
    <row r="132" s="1" customFormat="true" ht="15" hidden="false" customHeight="false" outlineLevel="0" collapsed="false">
      <c r="A132" s="1" t="s">
        <v>141</v>
      </c>
    </row>
    <row r="133" s="1" customFormat="true" ht="15" hidden="false" customHeight="false" outlineLevel="0" collapsed="false">
      <c r="A133" s="16" t="s">
        <v>32</v>
      </c>
    </row>
    <row r="134" s="1" customFormat="true" ht="15" hidden="false" customHeight="false" outlineLevel="0" collapsed="false"/>
    <row r="135" s="1" customFormat="true" ht="15" hidden="false" customHeight="false" outlineLevel="0" collapsed="false"/>
  </sheetData>
  <mergeCells count="3">
    <mergeCell ref="A1:I1"/>
    <mergeCell ref="A42:I42"/>
    <mergeCell ref="A98:I98"/>
  </mergeCells>
  <hyperlinks>
    <hyperlink ref="D2" r:id="rId1" display="http://wiki.linked.earth/Creating_a_LiPD_file"/>
    <hyperlink ref="F55" r:id="rId2" display="http://wiki.linked.earth"/>
    <hyperlink ref="A96" r:id="rId3" location="Step-by-step_Instructions" display="http://wiki.linked.earth/Creating_a_LiPD_file#Step-by-step_Instructions"/>
    <hyperlink ref="C108" r:id="rId4" display="https://nickmckay.github.io/LiPD-utilities/"/>
    <hyperlink ref="A120" r:id="rId5" display="http://lipd.net/validator"/>
    <hyperlink ref="F125" r:id="rId6" display="http://wiki.linked.earth/Special:WTLiPD"/>
    <hyperlink ref="A133" r:id="rId7" display="https://youtu.be/b4CD_uPJbP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35" activeCellId="0" sqref="B35"/>
    </sheetView>
  </sheetViews>
  <sheetFormatPr defaultColWidth="8.9765625" defaultRowHeight="13.8" zeroHeight="false" outlineLevelRow="0" outlineLevelCol="0"/>
  <cols>
    <col collapsed="false" customWidth="true" hidden="false" outlineLevel="0" max="1" min="1" style="17" width="69.51"/>
    <col collapsed="false" customWidth="true" hidden="false" outlineLevel="0" max="2" min="2" style="17" width="20.83"/>
    <col collapsed="false" customWidth="true" hidden="false" outlineLevel="0" max="3" min="3" style="17" width="28.98"/>
    <col collapsed="false" customWidth="true" hidden="false" outlineLevel="0" max="4" min="4" style="17" width="9.51"/>
    <col collapsed="false" customWidth="true" hidden="false" outlineLevel="0" max="5" min="5" style="17" width="27.5"/>
    <col collapsed="false" customWidth="true" hidden="false" outlineLevel="0" max="6" min="6" style="17" width="34.83"/>
    <col collapsed="false" customWidth="false" hidden="false" outlineLevel="0" max="1024" min="7" style="17" width="8.96"/>
  </cols>
  <sheetData>
    <row r="1" customFormat="false" ht="13.8" hidden="false" customHeight="false" outlineLevel="0" collapsed="false">
      <c r="A1" s="18"/>
    </row>
    <row r="2" customFormat="false" ht="13.8" hidden="false" customHeight="false" outlineLevel="0" collapsed="false">
      <c r="A2" s="19" t="s">
        <v>142</v>
      </c>
      <c r="B2" s="20" t="s">
        <v>143</v>
      </c>
    </row>
    <row r="3" customFormat="false" ht="13.8" hidden="false" customHeight="false" outlineLevel="0" collapsed="false">
      <c r="A3" s="19" t="s">
        <v>144</v>
      </c>
      <c r="B3" s="20" t="s">
        <v>145</v>
      </c>
    </row>
    <row r="4" customFormat="false" ht="13.8" hidden="false" customHeight="false" outlineLevel="0" collapsed="false">
      <c r="A4" s="21" t="s">
        <v>146</v>
      </c>
      <c r="B4" s="22"/>
    </row>
    <row r="5" customFormat="false" ht="13.8" hidden="false" customHeight="false" outlineLevel="0" collapsed="false">
      <c r="A5" s="21" t="s">
        <v>147</v>
      </c>
      <c r="B5" s="23" t="s">
        <v>148</v>
      </c>
    </row>
    <row r="7" customFormat="false" ht="13.8" hidden="false" customHeight="false" outlineLevel="0" collapsed="false">
      <c r="A7" s="24" t="s">
        <v>149</v>
      </c>
      <c r="B7" s="25" t="s">
        <v>150</v>
      </c>
      <c r="C7" s="17" t="s">
        <v>151</v>
      </c>
    </row>
    <row r="8" customFormat="false" ht="13.8" hidden="false" customHeight="false" outlineLevel="0" collapsed="false">
      <c r="A8" s="19" t="s">
        <v>152</v>
      </c>
      <c r="B8" s="23" t="s">
        <v>153</v>
      </c>
      <c r="C8" s="23"/>
    </row>
    <row r="9" customFormat="false" ht="13.8" hidden="false" customHeight="false" outlineLevel="0" collapsed="false">
      <c r="A9" s="19" t="s">
        <v>154</v>
      </c>
      <c r="B9" s="17" t="s">
        <v>155</v>
      </c>
    </row>
    <row r="10" customFormat="false" ht="13.8" hidden="false" customHeight="false" outlineLevel="0" collapsed="false">
      <c r="A10" s="19" t="s">
        <v>156</v>
      </c>
      <c r="B10" s="17" t="s">
        <v>157</v>
      </c>
    </row>
    <row r="11" customFormat="false" ht="13.8" hidden="false" customHeight="false" outlineLevel="0" collapsed="false">
      <c r="A11" s="19" t="s">
        <v>158</v>
      </c>
      <c r="B11" s="17" t="n">
        <v>2022</v>
      </c>
    </row>
    <row r="12" customFormat="false" ht="13.8" hidden="false" customHeight="false" outlineLevel="0" collapsed="false">
      <c r="A12" s="21" t="s">
        <v>159</v>
      </c>
    </row>
    <row r="13" customFormat="false" ht="13.8" hidden="false" customHeight="false" outlineLevel="0" collapsed="false">
      <c r="A13" s="21" t="s">
        <v>160</v>
      </c>
      <c r="C13" s="26"/>
    </row>
    <row r="14" customFormat="false" ht="13.8" hidden="false" customHeight="false" outlineLevel="0" collapsed="false">
      <c r="A14" s="21" t="s">
        <v>161</v>
      </c>
      <c r="B14" s="26"/>
      <c r="C14" s="26"/>
    </row>
    <row r="15" customFormat="false" ht="13.8" hidden="false" customHeight="false" outlineLevel="0" collapsed="false">
      <c r="A15" s="21" t="s">
        <v>162</v>
      </c>
    </row>
    <row r="16" customFormat="false" ht="13.8" hidden="false" customHeight="false" outlineLevel="0" collapsed="false">
      <c r="A16" s="21" t="s">
        <v>163</v>
      </c>
    </row>
    <row r="17" customFormat="false" ht="13.8" hidden="false" customHeight="false" outlineLevel="0" collapsed="false">
      <c r="A17" s="21" t="s">
        <v>164</v>
      </c>
    </row>
    <row r="18" customFormat="false" ht="13.8" hidden="false" customHeight="false" outlineLevel="0" collapsed="false">
      <c r="A18" s="21" t="s">
        <v>165</v>
      </c>
    </row>
    <row r="20" customFormat="false" ht="13.8" hidden="false" customHeight="false" outlineLevel="0" collapsed="false">
      <c r="A20" s="24" t="s">
        <v>166</v>
      </c>
      <c r="B20" s="27" t="s">
        <v>167</v>
      </c>
    </row>
    <row r="21" customFormat="false" ht="14.5" hidden="false" customHeight="true" outlineLevel="0" collapsed="false">
      <c r="A21" s="19" t="s">
        <v>168</v>
      </c>
      <c r="B21" s="17" t="n">
        <v>-34.469</v>
      </c>
    </row>
    <row r="22" customFormat="false" ht="13.8" hidden="false" customHeight="false" outlineLevel="0" collapsed="false">
      <c r="A22" s="19" t="s">
        <v>169</v>
      </c>
      <c r="B22" s="20" t="n">
        <v>-34.469</v>
      </c>
    </row>
    <row r="23" customFormat="false" ht="13.8" hidden="false" customHeight="false" outlineLevel="0" collapsed="false">
      <c r="A23" s="19" t="s">
        <v>170</v>
      </c>
      <c r="B23" s="17" t="n">
        <v>-71.166</v>
      </c>
    </row>
    <row r="24" customFormat="false" ht="13.8" hidden="false" customHeight="false" outlineLevel="0" collapsed="false">
      <c r="A24" s="19" t="s">
        <v>171</v>
      </c>
      <c r="B24" s="17" t="n">
        <v>-71.166</v>
      </c>
    </row>
    <row r="25" customFormat="false" ht="13.8" hidden="false" customHeight="false" outlineLevel="0" collapsed="false">
      <c r="A25" s="21" t="s">
        <v>172</v>
      </c>
      <c r="B25" s="28" t="n">
        <v>204</v>
      </c>
    </row>
    <row r="28" customFormat="false" ht="13.8" hidden="false" customHeight="false" outlineLevel="0" collapsed="false">
      <c r="A28" s="24" t="s">
        <v>173</v>
      </c>
      <c r="B28" s="27" t="s">
        <v>174</v>
      </c>
    </row>
    <row r="29" customFormat="false" ht="13.8" hidden="false" customHeight="false" outlineLevel="0" collapsed="false">
      <c r="A29" s="29" t="s">
        <v>175</v>
      </c>
      <c r="B29" s="30" t="s">
        <v>176</v>
      </c>
      <c r="C29" s="30"/>
      <c r="D29" s="20"/>
    </row>
    <row r="30" customFormat="false" ht="23.85" hidden="false" customHeight="false" outlineLevel="0" collapsed="false">
      <c r="A30" s="29" t="s">
        <v>177</v>
      </c>
      <c r="B30" s="30" t="s">
        <v>178</v>
      </c>
      <c r="C30" s="30"/>
      <c r="D30" s="30"/>
    </row>
    <row r="31" customFormat="false" ht="13.8" hidden="false" customHeight="false" outlineLevel="0" collapsed="false">
      <c r="A31" s="21" t="s">
        <v>179</v>
      </c>
      <c r="B31" s="23" t="s">
        <v>148</v>
      </c>
      <c r="C31" s="23"/>
      <c r="E31" s="30"/>
    </row>
    <row r="32" customFormat="false" ht="13.8" hidden="false" customHeight="false" outlineLevel="0" collapsed="false">
      <c r="A32" s="21" t="s">
        <v>180</v>
      </c>
      <c r="B32" s="17" t="s">
        <v>181</v>
      </c>
    </row>
  </sheetData>
  <dataValidations count="1">
    <dataValidation allowBlank="true" error="The archiveType is not currently available in our database. Thank you for contributing to the LinkedEarth ontology!" errorStyle="stop" errorTitle="New archiveType" operator="between" prompt="Select the type of archive on which the ProxyObservations were made. If you don't see your archive, enter it in the box. " promptTitle="archiveType" showDropDown="false" showErrorMessage="true" showInputMessage="true" sqref="B3" type="list">
      <formula1>archiveType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3:A2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K57" activeCellId="0" sqref="K57"/>
    </sheetView>
  </sheetViews>
  <sheetFormatPr defaultColWidth="9.03125" defaultRowHeight="15" zeroHeight="false" outlineLevelRow="0" outlineLevelCol="0"/>
  <sheetData>
    <row r="3" customFormat="false" ht="15" hidden="false" customHeight="false" outlineLevel="0" collapsed="false">
      <c r="A3" s="31" t="s">
        <v>182</v>
      </c>
    </row>
    <row r="4" customFormat="false" ht="15" hidden="false" customHeight="false" outlineLevel="0" collapsed="false">
      <c r="A4" s="31" t="s">
        <v>183</v>
      </c>
    </row>
    <row r="5" customFormat="false" ht="15" hidden="false" customHeight="false" outlineLevel="0" collapsed="false">
      <c r="A5" s="31" t="s">
        <v>184</v>
      </c>
    </row>
    <row r="6" customFormat="false" ht="15" hidden="false" customHeight="false" outlineLevel="0" collapsed="false">
      <c r="A6" s="31" t="s">
        <v>185</v>
      </c>
    </row>
    <row r="7" customFormat="false" ht="15" hidden="false" customHeight="false" outlineLevel="0" collapsed="false">
      <c r="A7" s="31" t="s">
        <v>186</v>
      </c>
    </row>
    <row r="8" customFormat="false" ht="15" hidden="false" customHeight="false" outlineLevel="0" collapsed="false">
      <c r="A8" s="31" t="s">
        <v>187</v>
      </c>
    </row>
    <row r="9" customFormat="false" ht="15" hidden="false" customHeight="false" outlineLevel="0" collapsed="false">
      <c r="A9" s="31" t="s">
        <v>188</v>
      </c>
    </row>
    <row r="10" customFormat="false" ht="15" hidden="false" customHeight="false" outlineLevel="0" collapsed="false">
      <c r="A10" s="31" t="s">
        <v>189</v>
      </c>
    </row>
    <row r="11" customFormat="false" ht="15" hidden="false" customHeight="false" outlineLevel="0" collapsed="false">
      <c r="A11" s="31" t="s">
        <v>190</v>
      </c>
    </row>
    <row r="12" customFormat="false" ht="15" hidden="false" customHeight="false" outlineLevel="0" collapsed="false">
      <c r="A12" s="31" t="s">
        <v>191</v>
      </c>
    </row>
    <row r="13" customFormat="false" ht="15" hidden="false" customHeight="false" outlineLevel="0" collapsed="false">
      <c r="A13" s="31" t="s">
        <v>192</v>
      </c>
    </row>
    <row r="14" customFormat="false" ht="15" hidden="false" customHeight="false" outlineLevel="0" collapsed="false">
      <c r="A14" s="31" t="s">
        <v>193</v>
      </c>
    </row>
    <row r="15" customFormat="false" ht="15" hidden="false" customHeight="false" outlineLevel="0" collapsed="false">
      <c r="A15" s="31" t="s">
        <v>194</v>
      </c>
    </row>
    <row r="16" customFormat="false" ht="15" hidden="false" customHeight="false" outlineLevel="0" collapsed="false">
      <c r="A16" s="31" t="s">
        <v>195</v>
      </c>
    </row>
    <row r="17" customFormat="false" ht="15" hidden="false" customHeight="false" outlineLevel="0" collapsed="false">
      <c r="A17" s="31" t="s">
        <v>196</v>
      </c>
    </row>
    <row r="18" customFormat="false" ht="15" hidden="false" customHeight="false" outlineLevel="0" collapsed="false">
      <c r="A18" s="31" t="s">
        <v>197</v>
      </c>
    </row>
    <row r="19" customFormat="false" ht="15" hidden="false" customHeight="false" outlineLevel="0" collapsed="false">
      <c r="A19" s="31" t="s">
        <v>198</v>
      </c>
    </row>
    <row r="20" customFormat="false" ht="15" hidden="false" customHeight="false" outlineLevel="0" collapsed="false">
      <c r="A20" s="31" t="s">
        <v>199</v>
      </c>
    </row>
    <row r="21" customFormat="false" ht="15" hidden="false" customHeight="false" outlineLevel="0" collapsed="false">
      <c r="A21" s="31" t="s">
        <v>200</v>
      </c>
    </row>
    <row r="22" customFormat="false" ht="15" hidden="false" customHeight="false" outlineLevel="0" collapsed="false">
      <c r="A22" s="31" t="s">
        <v>201</v>
      </c>
    </row>
    <row r="23" customFormat="false" ht="15" hidden="false" customHeight="false" outlineLevel="0" collapsed="false">
      <c r="A23" s="31" t="s">
        <v>202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110"/>
  <sheetViews>
    <sheetView showFormulas="false" showGridLines="true" showRowColHeaders="true" showZeros="true" rightToLeft="false" tabSelected="false" showOutlineSymbols="true" defaultGridColor="true" view="normal" topLeftCell="A14" colorId="64" zoomScale="95" zoomScaleNormal="95" zoomScalePageLayoutView="100" workbookViewId="0">
      <pane xSplit="44271" ySplit="0" topLeftCell="L14" activePane="topRight" state="split"/>
      <selection pane="topLeft" activeCell="A14" activeCellId="0" sqref="A14"/>
      <selection pane="topRight" activeCell="P23" activeCellId="0" sqref="P23"/>
    </sheetView>
  </sheetViews>
  <sheetFormatPr defaultColWidth="9.03125" defaultRowHeight="15" zeroHeight="false" outlineLevelRow="0" outlineLevelCol="0"/>
  <cols>
    <col collapsed="false" customWidth="true" hidden="false" outlineLevel="0" max="1" min="1" style="0" width="30.89"/>
    <col collapsed="false" customWidth="true" hidden="false" outlineLevel="0" max="2" min="2" style="0" width="16"/>
    <col collapsed="false" customWidth="true" hidden="false" outlineLevel="0" max="3" min="3" style="0" width="15.15"/>
    <col collapsed="false" customWidth="true" hidden="false" outlineLevel="0" max="4" min="4" style="0" width="19.99"/>
    <col collapsed="false" customWidth="true" hidden="false" outlineLevel="0" max="5" min="5" style="0" width="24.91"/>
    <col collapsed="false" customWidth="true" hidden="false" outlineLevel="0" max="6" min="6" style="0" width="18.85"/>
    <col collapsed="false" customWidth="true" hidden="false" outlineLevel="0" max="8" min="7" style="0" width="21.66"/>
    <col collapsed="false" customWidth="true" hidden="false" outlineLevel="0" max="9" min="9" style="0" width="31.83"/>
    <col collapsed="false" customWidth="true" hidden="false" outlineLevel="0" max="10" min="10" style="0" width="25.16"/>
    <col collapsed="false" customWidth="true" hidden="false" outlineLevel="0" max="11" min="11" style="0" width="15.15"/>
    <col collapsed="false" customWidth="true" hidden="false" outlineLevel="0" max="13" min="12" style="0" width="12.51"/>
    <col collapsed="false" customWidth="true" hidden="false" outlineLevel="0" max="14" min="14" style="0" width="31.16"/>
    <col collapsed="false" customWidth="true" hidden="false" outlineLevel="0" max="15" min="15" style="0" width="23.66"/>
    <col collapsed="false" customWidth="true" hidden="false" outlineLevel="0" max="16" min="16" style="0" width="25.52"/>
    <col collapsed="false" customWidth="true" hidden="false" outlineLevel="0" max="17" min="17" style="0" width="25.33"/>
    <col collapsed="false" customWidth="true" hidden="false" outlineLevel="0" max="18" min="18" style="0" width="18.85"/>
    <col collapsed="false" customWidth="true" hidden="false" outlineLevel="0" max="19" min="19" style="0" width="19.99"/>
    <col collapsed="false" customWidth="true" hidden="false" outlineLevel="0" max="20" min="20" style="0" width="26"/>
    <col collapsed="false" customWidth="true" hidden="false" outlineLevel="0" max="21" min="21" style="0" width="25.16"/>
    <col collapsed="false" customWidth="true" hidden="false" outlineLevel="0" max="22" min="22" style="0" width="24.49"/>
    <col collapsed="false" customWidth="true" hidden="false" outlineLevel="0" max="23" min="23" style="0" width="27"/>
    <col collapsed="false" customWidth="true" hidden="false" outlineLevel="0" max="24" min="24" style="0" width="22.16"/>
    <col collapsed="false" customWidth="true" hidden="false" outlineLevel="0" max="25" min="25" style="0" width="25.52"/>
    <col collapsed="false" customWidth="true" hidden="false" outlineLevel="0" max="26" min="26" style="0" width="27.84"/>
    <col collapsed="false" customWidth="true" hidden="false" outlineLevel="0" max="27" min="27" style="0" width="29.17"/>
    <col collapsed="false" customWidth="true" hidden="false" outlineLevel="0" max="28" min="28" style="0" width="33.14"/>
  </cols>
  <sheetData>
    <row r="1" customFormat="false" ht="16" hidden="false" customHeight="false" outlineLevel="0" collapsed="false">
      <c r="A1" s="32" t="s">
        <v>203</v>
      </c>
      <c r="B1" s="33"/>
    </row>
    <row r="2" customFormat="false" ht="17" hidden="false" customHeight="false" outlineLevel="0" collapsed="false"/>
    <row r="3" customFormat="false" ht="17" hidden="false" customHeight="false" outlineLevel="0" collapsed="false">
      <c r="A3" s="34" t="s">
        <v>204</v>
      </c>
      <c r="B3" s="35" t="s">
        <v>205</v>
      </c>
    </row>
    <row r="4" customFormat="false" ht="13.8" hidden="false" customHeight="false" outlineLevel="0" collapsed="false">
      <c r="A4" s="36" t="s">
        <v>206</v>
      </c>
      <c r="B4" s="36" t="s">
        <v>207</v>
      </c>
      <c r="C4" s="37" t="s">
        <v>208</v>
      </c>
      <c r="D4" s="36" t="s">
        <v>209</v>
      </c>
      <c r="E4" s="36" t="s">
        <v>210</v>
      </c>
      <c r="F4" s="37" t="s">
        <v>211</v>
      </c>
      <c r="G4" s="37" t="s">
        <v>212</v>
      </c>
      <c r="H4" s="37" t="s">
        <v>213</v>
      </c>
      <c r="I4" s="38" t="s">
        <v>214</v>
      </c>
      <c r="J4" s="39" t="s">
        <v>215</v>
      </c>
      <c r="K4" s="40" t="s">
        <v>216</v>
      </c>
      <c r="L4" s="40" t="s">
        <v>217</v>
      </c>
      <c r="M4" s="40" t="s">
        <v>218</v>
      </c>
      <c r="N4" s="40" t="s">
        <v>219</v>
      </c>
      <c r="O4" s="40" t="s">
        <v>220</v>
      </c>
      <c r="P4" s="40" t="s">
        <v>221</v>
      </c>
      <c r="Q4" s="40" t="s">
        <v>222</v>
      </c>
      <c r="R4" s="40" t="s">
        <v>223</v>
      </c>
      <c r="S4" s="40" t="s">
        <v>224</v>
      </c>
      <c r="T4" s="40" t="s">
        <v>225</v>
      </c>
      <c r="U4" s="40" t="s">
        <v>226</v>
      </c>
      <c r="V4" s="40" t="s">
        <v>227</v>
      </c>
      <c r="W4" s="40" t="s">
        <v>228</v>
      </c>
      <c r="X4" s="40" t="s">
        <v>229</v>
      </c>
      <c r="Y4" s="40" t="s">
        <v>230</v>
      </c>
      <c r="Z4" s="40" t="s">
        <v>231</v>
      </c>
      <c r="AA4" s="40" t="s">
        <v>232</v>
      </c>
      <c r="AB4" s="40" t="s">
        <v>233</v>
      </c>
    </row>
    <row r="5" customFormat="false" ht="13.8" hidden="false" customHeight="false" outlineLevel="0" collapsed="false">
      <c r="A5" s="41" t="str">
        <f aca="false">A23</f>
        <v>Depth</v>
      </c>
      <c r="B5" s="33" t="s">
        <v>234</v>
      </c>
      <c r="C5" s="0" t="s">
        <v>235</v>
      </c>
      <c r="D5" s="33"/>
      <c r="E5" s="33"/>
      <c r="F5" s="33"/>
      <c r="G5" s="33"/>
      <c r="J5" s="33" t="s">
        <v>236</v>
      </c>
      <c r="K5" s="0" t="n">
        <v>1</v>
      </c>
      <c r="N5" s="33" t="s">
        <v>237</v>
      </c>
      <c r="O5" s="33"/>
      <c r="V5" s="33"/>
      <c r="W5" s="33"/>
    </row>
    <row r="6" customFormat="false" ht="13.8" hidden="false" customHeight="false" outlineLevel="0" collapsed="false">
      <c r="A6" s="41" t="str">
        <f aca="false">B23</f>
        <v>age</v>
      </c>
      <c r="B6" s="33" t="s">
        <v>234</v>
      </c>
      <c r="C6" s="33" t="s">
        <v>238</v>
      </c>
      <c r="D6" s="33" t="s">
        <v>239</v>
      </c>
      <c r="E6" s="33" t="s">
        <v>240</v>
      </c>
      <c r="F6" s="33" t="s">
        <v>241</v>
      </c>
      <c r="G6" s="33"/>
      <c r="I6" s="33" t="s">
        <v>242</v>
      </c>
      <c r="J6" s="33"/>
      <c r="K6" s="0" t="n">
        <v>1</v>
      </c>
      <c r="N6" s="33" t="s">
        <v>237</v>
      </c>
      <c r="O6" s="33" t="s">
        <v>242</v>
      </c>
      <c r="P6" s="42" t="s">
        <v>243</v>
      </c>
    </row>
    <row r="7" customFormat="false" ht="13.8" hidden="false" customHeight="false" outlineLevel="0" collapsed="false">
      <c r="A7" s="41" t="str">
        <f aca="false">C23</f>
        <v>d13C</v>
      </c>
      <c r="B7" s="33" t="s">
        <v>234</v>
      </c>
      <c r="C7" s="42" t="s">
        <v>244</v>
      </c>
      <c r="D7" s="33" t="s">
        <v>245</v>
      </c>
      <c r="E7" s="33" t="s">
        <v>246</v>
      </c>
      <c r="F7" s="33" t="s">
        <v>241</v>
      </c>
      <c r="G7" s="33"/>
      <c r="I7" s="33" t="s">
        <v>247</v>
      </c>
      <c r="J7" s="33"/>
      <c r="K7" s="0" t="n">
        <v>1</v>
      </c>
      <c r="N7" s="33" t="s">
        <v>237</v>
      </c>
      <c r="O7" s="33" t="s">
        <v>248</v>
      </c>
    </row>
    <row r="8" customFormat="false" ht="13.8" hidden="false" customHeight="false" outlineLevel="0" collapsed="false">
      <c r="A8" s="41" t="str">
        <f aca="false">D23</f>
        <v>d18O</v>
      </c>
      <c r="B8" s="33" t="s">
        <v>234</v>
      </c>
      <c r="C8" s="42" t="s">
        <v>244</v>
      </c>
      <c r="D8" s="33" t="s">
        <v>249</v>
      </c>
      <c r="E8" s="33" t="s">
        <v>246</v>
      </c>
      <c r="F8" s="33" t="s">
        <v>241</v>
      </c>
      <c r="G8" s="33"/>
      <c r="I8" s="33" t="s">
        <v>247</v>
      </c>
      <c r="J8" s="33"/>
      <c r="K8" s="0" t="n">
        <v>1</v>
      </c>
      <c r="N8" s="33" t="s">
        <v>237</v>
      </c>
      <c r="O8" s="33" t="s">
        <v>248</v>
      </c>
    </row>
    <row r="9" customFormat="false" ht="13.8" hidden="false" customHeight="false" outlineLevel="0" collapsed="false">
      <c r="A9" s="41" t="str">
        <f aca="false">E23</f>
        <v>TIC</v>
      </c>
      <c r="B9" s="33" t="s">
        <v>234</v>
      </c>
      <c r="C9" s="42" t="s">
        <v>250</v>
      </c>
      <c r="D9" s="33" t="s">
        <v>251</v>
      </c>
      <c r="E9" s="33" t="s">
        <v>252</v>
      </c>
      <c r="F9" s="33" t="s">
        <v>241</v>
      </c>
      <c r="G9" s="33"/>
      <c r="I9" s="33" t="s">
        <v>253</v>
      </c>
      <c r="J9" s="33"/>
      <c r="K9" s="0" t="n">
        <v>1</v>
      </c>
      <c r="N9" s="33" t="s">
        <v>237</v>
      </c>
      <c r="O9" s="33" t="s">
        <v>254</v>
      </c>
    </row>
    <row r="10" customFormat="false" ht="13.8" hidden="false" customHeight="false" outlineLevel="0" collapsed="false">
      <c r="A10" s="41" t="str">
        <f aca="false">F23</f>
        <v>TOC</v>
      </c>
      <c r="B10" s="33" t="s">
        <v>234</v>
      </c>
      <c r="C10" s="42" t="s">
        <v>250</v>
      </c>
      <c r="D10" s="33" t="s">
        <v>255</v>
      </c>
      <c r="E10" s="33" t="s">
        <v>256</v>
      </c>
      <c r="F10" s="33" t="s">
        <v>241</v>
      </c>
      <c r="G10" s="33"/>
      <c r="I10" s="0" t="s">
        <v>257</v>
      </c>
      <c r="K10" s="0" t="n">
        <v>1</v>
      </c>
      <c r="N10" s="33" t="s">
        <v>237</v>
      </c>
      <c r="O10" s="33" t="s">
        <v>254</v>
      </c>
    </row>
    <row r="11" customFormat="false" ht="13.8" hidden="false" customHeight="false" outlineLevel="0" collapsed="false">
      <c r="A11" s="41" t="str">
        <f aca="false">G23</f>
        <v>EM1</v>
      </c>
      <c r="B11" s="33" t="s">
        <v>258</v>
      </c>
      <c r="C11" s="42" t="s">
        <v>250</v>
      </c>
      <c r="D11" s="33" t="s">
        <v>259</v>
      </c>
      <c r="E11" s="33"/>
      <c r="F11" s="33" t="s">
        <v>241</v>
      </c>
      <c r="G11" s="33"/>
      <c r="K11" s="0" t="n">
        <v>1</v>
      </c>
      <c r="N11" s="33" t="s">
        <v>237</v>
      </c>
      <c r="O11" s="33"/>
    </row>
    <row r="12" customFormat="false" ht="13.8" hidden="false" customHeight="false" outlineLevel="0" collapsed="false">
      <c r="A12" s="41" t="str">
        <f aca="false">H23</f>
        <v>EM2</v>
      </c>
      <c r="B12" s="33" t="s">
        <v>258</v>
      </c>
      <c r="C12" s="42" t="s">
        <v>250</v>
      </c>
      <c r="D12" s="33" t="s">
        <v>259</v>
      </c>
      <c r="E12" s="33"/>
      <c r="F12" s="33" t="s">
        <v>241</v>
      </c>
      <c r="G12" s="33"/>
      <c r="K12" s="0" t="n">
        <v>1</v>
      </c>
      <c r="N12" s="33" t="s">
        <v>237</v>
      </c>
      <c r="O12" s="33"/>
    </row>
    <row r="13" customFormat="false" ht="13.8" hidden="false" customHeight="false" outlineLevel="0" collapsed="false">
      <c r="A13" s="41" t="str">
        <f aca="false">I23</f>
        <v>EM3</v>
      </c>
      <c r="B13" s="33" t="s">
        <v>258</v>
      </c>
      <c r="C13" s="42" t="s">
        <v>250</v>
      </c>
      <c r="D13" s="33" t="s">
        <v>259</v>
      </c>
      <c r="E13" s="33"/>
      <c r="F13" s="33" t="s">
        <v>241</v>
      </c>
      <c r="G13" s="33"/>
      <c r="K13" s="0" t="n">
        <v>1</v>
      </c>
      <c r="N13" s="33" t="s">
        <v>237</v>
      </c>
      <c r="O13" s="33"/>
    </row>
    <row r="14" customFormat="false" ht="13.8" hidden="false" customHeight="false" outlineLevel="0" collapsed="false">
      <c r="A14" s="41" t="str">
        <f aca="false">J23</f>
        <v>EM4</v>
      </c>
      <c r="B14" s="33" t="s">
        <v>258</v>
      </c>
      <c r="C14" s="42" t="s">
        <v>250</v>
      </c>
      <c r="D14" s="33" t="s">
        <v>259</v>
      </c>
      <c r="E14" s="33"/>
      <c r="F14" s="33" t="s">
        <v>241</v>
      </c>
      <c r="G14" s="33"/>
      <c r="K14" s="0" t="n">
        <v>1</v>
      </c>
      <c r="N14" s="33" t="s">
        <v>237</v>
      </c>
      <c r="O14" s="33"/>
    </row>
    <row r="15" customFormat="false" ht="13.8" hidden="false" customHeight="false" outlineLevel="0" collapsed="false">
      <c r="A15" s="41" t="str">
        <f aca="false">K23</f>
        <v>EM5</v>
      </c>
      <c r="B15" s="33" t="s">
        <v>258</v>
      </c>
      <c r="C15" s="42" t="s">
        <v>250</v>
      </c>
      <c r="D15" s="33" t="s">
        <v>259</v>
      </c>
      <c r="E15" s="33"/>
      <c r="F15" s="33" t="s">
        <v>241</v>
      </c>
      <c r="G15" s="33"/>
      <c r="K15" s="0" t="n">
        <v>1</v>
      </c>
      <c r="N15" s="33" t="s">
        <v>237</v>
      </c>
      <c r="O15" s="33"/>
    </row>
    <row r="16" customFormat="false" ht="14.9" hidden="false" customHeight="false" outlineLevel="0" collapsed="false">
      <c r="A16" s="41" t="str">
        <f aca="false">L23</f>
        <v>MI</v>
      </c>
      <c r="B16" s="33" t="s">
        <v>258</v>
      </c>
      <c r="C16" s="42" t="s">
        <v>250</v>
      </c>
      <c r="D16" s="33" t="s">
        <v>259</v>
      </c>
      <c r="E16" s="33" t="s">
        <v>260</v>
      </c>
      <c r="F16" s="33" t="s">
        <v>241</v>
      </c>
      <c r="G16" s="33"/>
      <c r="I16" s="0" t="s">
        <v>261</v>
      </c>
      <c r="K16" s="0" t="n">
        <v>1</v>
      </c>
      <c r="N16" s="33" t="s">
        <v>237</v>
      </c>
      <c r="O16" s="33" t="s">
        <v>254</v>
      </c>
    </row>
    <row r="17" customFormat="false" ht="14.1" hidden="false" customHeight="false" outlineLevel="0" collapsed="false">
      <c r="A17" s="41" t="str">
        <f aca="false">M23</f>
        <v>MAAT_comp</v>
      </c>
      <c r="B17" s="33" t="s">
        <v>258</v>
      </c>
      <c r="C17" s="42" t="s">
        <v>262</v>
      </c>
      <c r="D17" s="33" t="s">
        <v>255</v>
      </c>
      <c r="E17" s="33" t="s">
        <v>246</v>
      </c>
      <c r="F17" s="33" t="s">
        <v>241</v>
      </c>
      <c r="G17" s="33"/>
      <c r="I17" s="33" t="s">
        <v>247</v>
      </c>
      <c r="K17" s="0" t="n">
        <v>1</v>
      </c>
      <c r="N17" s="33" t="s">
        <v>237</v>
      </c>
      <c r="O17" s="33" t="s">
        <v>254</v>
      </c>
    </row>
    <row r="18" customFormat="false" ht="14.9" hidden="false" customHeight="false" outlineLevel="0" collapsed="false">
      <c r="A18" s="41" t="str">
        <f aca="false">N23</f>
        <v>RH1</v>
      </c>
      <c r="B18" s="33" t="s">
        <v>258</v>
      </c>
      <c r="C18" s="42" t="s">
        <v>263</v>
      </c>
      <c r="D18" s="33" t="s">
        <v>255</v>
      </c>
      <c r="E18" s="33"/>
      <c r="F18" s="33" t="s">
        <v>241</v>
      </c>
      <c r="G18" s="33"/>
      <c r="I18" s="33" t="s">
        <v>264</v>
      </c>
      <c r="K18" s="0" t="n">
        <v>1</v>
      </c>
      <c r="N18" s="33" t="s">
        <v>237</v>
      </c>
      <c r="O18" s="33" t="s">
        <v>265</v>
      </c>
    </row>
    <row r="19" customFormat="false" ht="14.1" hidden="false" customHeight="false" outlineLevel="0" collapsed="false">
      <c r="A19" s="41" t="str">
        <f aca="false">O23</f>
        <v>R11</v>
      </c>
      <c r="B19" s="33" t="s">
        <v>258</v>
      </c>
      <c r="C19" s="42" t="s">
        <v>250</v>
      </c>
      <c r="D19" s="33" t="s">
        <v>255</v>
      </c>
      <c r="E19" s="33"/>
      <c r="F19" s="33" t="s">
        <v>241</v>
      </c>
      <c r="G19" s="33"/>
      <c r="I19" s="33" t="s">
        <v>264</v>
      </c>
      <c r="K19" s="0" t="n">
        <v>1</v>
      </c>
      <c r="N19" s="33" t="s">
        <v>237</v>
      </c>
      <c r="O19" s="33" t="s">
        <v>265</v>
      </c>
    </row>
    <row r="20" customFormat="false" ht="13.8" hidden="false" customHeight="false" outlineLevel="0" collapsed="false">
      <c r="A20" s="41"/>
      <c r="B20" s="33"/>
      <c r="D20" s="33"/>
      <c r="E20" s="33"/>
      <c r="F20" s="33"/>
      <c r="G20" s="33"/>
      <c r="N20" s="33"/>
      <c r="O20" s="33"/>
    </row>
    <row r="21" customFormat="false" ht="17" hidden="false" customHeight="false" outlineLevel="0" collapsed="false">
      <c r="A21" s="34" t="s">
        <v>266</v>
      </c>
      <c r="B21" s="35" t="s">
        <v>267</v>
      </c>
    </row>
    <row r="22" customFormat="false" ht="17" hidden="false" customHeight="false" outlineLevel="0" collapsed="false">
      <c r="A22" s="43" t="s">
        <v>268</v>
      </c>
      <c r="B22" s="33" t="s">
        <v>269</v>
      </c>
      <c r="C22" s="35" t="s">
        <v>270</v>
      </c>
    </row>
    <row r="23" customFormat="false" ht="13.8" hidden="false" customHeight="false" outlineLevel="0" collapsed="false">
      <c r="A23" s="0" t="s">
        <v>241</v>
      </c>
      <c r="B23" s="0" t="s">
        <v>271</v>
      </c>
      <c r="C23" s="0" t="s">
        <v>245</v>
      </c>
      <c r="D23" s="33" t="s">
        <v>249</v>
      </c>
      <c r="E23" s="33" t="s">
        <v>272</v>
      </c>
      <c r="F23" s="33" t="s">
        <v>273</v>
      </c>
      <c r="G23" s="0" t="s">
        <v>274</v>
      </c>
      <c r="H23" s="0" t="s">
        <v>275</v>
      </c>
      <c r="I23" s="0" t="s">
        <v>276</v>
      </c>
      <c r="J23" s="0" t="s">
        <v>277</v>
      </c>
      <c r="K23" s="20" t="s">
        <v>278</v>
      </c>
      <c r="L23" s="0" t="s">
        <v>279</v>
      </c>
      <c r="M23" s="0" t="s">
        <v>280</v>
      </c>
      <c r="N23" s="0" t="s">
        <v>281</v>
      </c>
      <c r="O23" s="0" t="s">
        <v>282</v>
      </c>
    </row>
    <row r="24" customFormat="false" ht="13.8" hidden="false" customHeight="false" outlineLevel="0" collapsed="false">
      <c r="A24" s="0" t="n">
        <v>38</v>
      </c>
      <c r="B24" s="0" t="n">
        <v>6044</v>
      </c>
      <c r="C24" s="0" t="s">
        <v>283</v>
      </c>
      <c r="D24" s="0" t="s">
        <v>284</v>
      </c>
      <c r="E24" s="17" t="n">
        <v>0.05</v>
      </c>
      <c r="F24" s="17" t="n">
        <v>4.3</v>
      </c>
      <c r="G24" s="0" t="n">
        <v>0.203266992572023</v>
      </c>
      <c r="H24" s="0" t="n">
        <v>0.796733007427977</v>
      </c>
      <c r="I24" s="0" t="n">
        <v>0</v>
      </c>
      <c r="J24" s="0" t="n">
        <v>0</v>
      </c>
      <c r="K24" s="0" t="n">
        <v>0</v>
      </c>
      <c r="L24" s="0" t="n">
        <v>0.0739902687759569</v>
      </c>
      <c r="M24" s="0" t="n">
        <v>14.0474901384856</v>
      </c>
      <c r="N24" s="0" t="n">
        <v>0.410904940225743</v>
      </c>
      <c r="O24" s="0" t="n">
        <v>55.7432583875711</v>
      </c>
    </row>
    <row r="25" customFormat="false" ht="13.8" hidden="false" customHeight="false" outlineLevel="0" collapsed="false">
      <c r="A25" s="0" t="n">
        <v>43</v>
      </c>
      <c r="B25" s="0" t="n">
        <v>6479</v>
      </c>
      <c r="C25" s="0" t="s">
        <v>285</v>
      </c>
      <c r="D25" s="0" t="s">
        <v>286</v>
      </c>
      <c r="E25" s="17" t="n">
        <v>2.98</v>
      </c>
      <c r="F25" s="17" t="n">
        <v>2.91</v>
      </c>
      <c r="G25" s="0" t="n">
        <v>0.165613835273076</v>
      </c>
      <c r="H25" s="0" t="n">
        <v>0.694234862723698</v>
      </c>
      <c r="I25" s="0" t="n">
        <v>0</v>
      </c>
      <c r="J25" s="0" t="n">
        <v>0.063689096575041</v>
      </c>
      <c r="K25" s="0" t="n">
        <v>0.076462205428186</v>
      </c>
      <c r="L25" s="0" t="n">
        <v>0.105858900269361</v>
      </c>
      <c r="M25" s="0" t="n">
        <v>14.8141496878632</v>
      </c>
      <c r="N25" s="0" t="n">
        <v>0.438240392088466</v>
      </c>
      <c r="O25" s="0" t="n">
        <v>53.81971629837</v>
      </c>
    </row>
    <row r="26" customFormat="false" ht="13.8" hidden="false" customHeight="false" outlineLevel="0" collapsed="false">
      <c r="A26" s="0" t="n">
        <v>47</v>
      </c>
      <c r="B26" s="0" t="n">
        <v>6755</v>
      </c>
      <c r="C26" s="0" t="s">
        <v>287</v>
      </c>
      <c r="D26" s="0" t="s">
        <v>288</v>
      </c>
      <c r="E26" s="17" t="n">
        <v>3.95</v>
      </c>
      <c r="F26" s="17" t="n">
        <v>1.91</v>
      </c>
      <c r="G26" s="0" t="n">
        <v>0.254245502645375</v>
      </c>
      <c r="H26" s="0" t="n">
        <v>0.745754497354625</v>
      </c>
      <c r="I26" s="0" t="n">
        <v>0</v>
      </c>
      <c r="J26" s="0" t="n">
        <v>0</v>
      </c>
      <c r="K26" s="0" t="n">
        <v>0</v>
      </c>
      <c r="L26" s="0" t="n">
        <v>0.0282804092464152</v>
      </c>
      <c r="M26" s="0" t="n">
        <v>14.3498397297942</v>
      </c>
      <c r="N26" s="0" t="n">
        <v>0.303725505967486</v>
      </c>
      <c r="O26" s="0" t="n">
        <v>60.7280684056763</v>
      </c>
    </row>
    <row r="27" customFormat="false" ht="13.8" hidden="false" customHeight="false" outlineLevel="0" collapsed="false">
      <c r="A27" s="0" t="n">
        <v>51</v>
      </c>
      <c r="B27" s="0" t="n">
        <v>7018</v>
      </c>
      <c r="C27" s="0" t="s">
        <v>289</v>
      </c>
      <c r="D27" s="0" t="s">
        <v>290</v>
      </c>
      <c r="E27" s="17" t="n">
        <v>4.4</v>
      </c>
      <c r="F27" s="17" t="n">
        <v>0.97</v>
      </c>
      <c r="G27" s="0" t="n">
        <v>0.224803046500423</v>
      </c>
      <c r="H27" s="0" t="n">
        <v>0.775196953499577</v>
      </c>
      <c r="I27" s="0" t="n">
        <v>0</v>
      </c>
      <c r="J27" s="0" t="n">
        <v>0</v>
      </c>
      <c r="K27" s="0" t="n">
        <v>0</v>
      </c>
      <c r="L27" s="0" t="n">
        <v>0.0882512070805441</v>
      </c>
      <c r="M27" s="0" t="n">
        <v>14.2858226262498</v>
      </c>
      <c r="N27" s="0" t="n">
        <v>0</v>
      </c>
      <c r="O27" s="0" t="n">
        <v>0</v>
      </c>
    </row>
    <row r="28" customFormat="false" ht="13.8" hidden="false" customHeight="false" outlineLevel="0" collapsed="false">
      <c r="A28" s="0" t="n">
        <v>54</v>
      </c>
      <c r="B28" s="41" t="n">
        <v>7201</v>
      </c>
      <c r="C28" s="41" t="s">
        <v>291</v>
      </c>
      <c r="D28" s="0" t="s">
        <v>292</v>
      </c>
      <c r="E28" s="17" t="n">
        <v>4.18</v>
      </c>
      <c r="F28" s="17" t="n">
        <v>0.89</v>
      </c>
      <c r="G28" s="0" t="n">
        <v>0.234245964124793</v>
      </c>
      <c r="H28" s="0" t="n">
        <v>0.765754035875206</v>
      </c>
      <c r="I28" s="0" t="n">
        <v>0</v>
      </c>
      <c r="J28" s="0" t="n">
        <v>0</v>
      </c>
      <c r="K28" s="0" t="n">
        <v>0</v>
      </c>
      <c r="L28" s="0" t="n">
        <v>0.0221896255256231</v>
      </c>
      <c r="M28" s="0" t="n">
        <v>14.489639334212</v>
      </c>
      <c r="N28" s="0" t="n">
        <v>0.447614180135143</v>
      </c>
      <c r="O28" s="0" t="n">
        <v>80.9529214751492</v>
      </c>
    </row>
    <row r="29" customFormat="false" ht="13.8" hidden="false" customHeight="false" outlineLevel="0" collapsed="false">
      <c r="A29" s="0" t="n">
        <v>58</v>
      </c>
      <c r="B29" s="41" t="n">
        <v>7478</v>
      </c>
      <c r="C29" s="41" t="s">
        <v>293</v>
      </c>
      <c r="D29" s="41" t="s">
        <v>294</v>
      </c>
      <c r="E29" s="17" t="n">
        <v>4.29</v>
      </c>
      <c r="F29" s="17" t="n">
        <v>0.79</v>
      </c>
      <c r="G29" s="0" t="n">
        <v>0.276824499973506</v>
      </c>
      <c r="H29" s="0" t="n">
        <v>0.723175500026494</v>
      </c>
      <c r="I29" s="0" t="n">
        <v>0</v>
      </c>
      <c r="J29" s="0" t="n">
        <v>0</v>
      </c>
      <c r="K29" s="0" t="n">
        <v>0</v>
      </c>
      <c r="L29" s="0" t="n">
        <v>0.186973660412326</v>
      </c>
      <c r="M29" s="0" t="n">
        <v>15.2550881983714</v>
      </c>
      <c r="N29" s="0" t="n">
        <v>0</v>
      </c>
      <c r="O29" s="0" t="n">
        <v>0</v>
      </c>
    </row>
    <row r="30" customFormat="false" ht="13.8" hidden="false" customHeight="false" outlineLevel="0" collapsed="false">
      <c r="A30" s="0" t="n">
        <v>62</v>
      </c>
      <c r="B30" s="41" t="n">
        <v>7751</v>
      </c>
      <c r="C30" s="41" t="s">
        <v>295</v>
      </c>
      <c r="D30" s="41" t="s">
        <v>296</v>
      </c>
      <c r="E30" s="17" t="n">
        <v>4.65</v>
      </c>
      <c r="F30" s="17" t="n">
        <v>0.91</v>
      </c>
      <c r="G30" s="0" t="n">
        <v>0.100505631330874</v>
      </c>
      <c r="H30" s="0" t="n">
        <v>0.872829694541944</v>
      </c>
      <c r="I30" s="0" t="n">
        <v>0.026664674127183</v>
      </c>
      <c r="J30" s="0" t="n">
        <v>0</v>
      </c>
      <c r="K30" s="0" t="n">
        <v>0</v>
      </c>
      <c r="L30" s="0" t="n">
        <v>0.186973660412326</v>
      </c>
      <c r="M30" s="0" t="n">
        <v>15.2550881983714</v>
      </c>
      <c r="N30" s="0" t="n">
        <v>0.635148222417405</v>
      </c>
      <c r="O30" s="0" t="n">
        <v>90.5787945737862</v>
      </c>
    </row>
    <row r="31" customFormat="false" ht="13.8" hidden="false" customHeight="false" outlineLevel="0" collapsed="false">
      <c r="A31" s="0" t="n">
        <v>66</v>
      </c>
      <c r="B31" s="0" t="n">
        <v>7966</v>
      </c>
      <c r="C31" s="0" t="s">
        <v>297</v>
      </c>
      <c r="D31" s="41" t="s">
        <v>298</v>
      </c>
      <c r="E31" s="17" t="n">
        <v>5.28</v>
      </c>
      <c r="F31" s="17" t="n">
        <v>1.06</v>
      </c>
      <c r="G31" s="0" t="n">
        <v>0.045871126013699</v>
      </c>
      <c r="H31" s="0" t="n">
        <v>0.869484516531964</v>
      </c>
      <c r="I31" s="0" t="n">
        <v>0.026640651514178</v>
      </c>
      <c r="J31" s="0" t="n">
        <v>0.058003705940159</v>
      </c>
      <c r="K31" s="0" t="n">
        <v>0</v>
      </c>
      <c r="L31" s="0" t="n">
        <v>0.00312419802013522</v>
      </c>
      <c r="M31" s="0" t="n">
        <v>15.7514085140663</v>
      </c>
      <c r="N31" s="0" t="n">
        <v>0.595254606366076</v>
      </c>
      <c r="O31" s="0" t="n">
        <v>86.9147697853659</v>
      </c>
    </row>
    <row r="32" customFormat="false" ht="13.8" hidden="false" customHeight="false" outlineLevel="0" collapsed="false">
      <c r="A32" s="0" t="n">
        <v>70</v>
      </c>
      <c r="B32" s="0" t="n">
        <v>8167</v>
      </c>
      <c r="C32" s="0" t="s">
        <v>299</v>
      </c>
      <c r="D32" s="41" t="s">
        <v>300</v>
      </c>
      <c r="E32" s="17" t="n">
        <v>4.4</v>
      </c>
      <c r="F32" s="17" t="n">
        <v>0.77</v>
      </c>
      <c r="G32" s="0" t="n">
        <v>0.043421188555538</v>
      </c>
      <c r="H32" s="0" t="n">
        <v>0.909864677948353</v>
      </c>
      <c r="I32" s="0" t="n">
        <v>0.043876949545269</v>
      </c>
      <c r="J32" s="0" t="n">
        <v>0.00283718395084</v>
      </c>
      <c r="K32" s="0" t="n">
        <v>0</v>
      </c>
      <c r="L32" s="0" t="n">
        <v>0.00421449560452306</v>
      </c>
      <c r="M32" s="0" t="n">
        <v>13.9101082942901</v>
      </c>
      <c r="N32" s="0" t="n">
        <v>0.551785157188734</v>
      </c>
      <c r="O32" s="0" t="n">
        <v>87.5196847634895</v>
      </c>
    </row>
    <row r="33" customFormat="false" ht="13.8" hidden="false" customHeight="false" outlineLevel="0" collapsed="false">
      <c r="A33" s="0" t="n">
        <v>74</v>
      </c>
      <c r="B33" s="0" t="n">
        <v>8317</v>
      </c>
      <c r="C33" s="0" t="s">
        <v>301</v>
      </c>
      <c r="D33" s="41" t="s">
        <v>302</v>
      </c>
      <c r="E33" s="17" t="n">
        <v>4.91</v>
      </c>
      <c r="F33" s="17" t="n">
        <v>0.71</v>
      </c>
      <c r="G33" s="0" t="n">
        <v>0</v>
      </c>
      <c r="H33" s="0" t="n">
        <v>1</v>
      </c>
      <c r="I33" s="0" t="n">
        <v>0</v>
      </c>
      <c r="J33" s="0" t="n">
        <v>0</v>
      </c>
      <c r="K33" s="0" t="n">
        <v>0</v>
      </c>
      <c r="L33" s="0" t="n">
        <v>0.0909856051090457</v>
      </c>
      <c r="M33" s="0" t="n">
        <v>15.5528445758994</v>
      </c>
      <c r="N33" s="0" t="n">
        <v>0.806526621837153</v>
      </c>
      <c r="O33" s="0" t="n">
        <v>61.7308733687761</v>
      </c>
    </row>
    <row r="34" customFormat="false" ht="13.8" hidden="false" customHeight="false" outlineLevel="0" collapsed="false">
      <c r="A34" s="0" t="n">
        <v>78</v>
      </c>
      <c r="B34" s="0" t="n">
        <v>8476</v>
      </c>
      <c r="C34" s="0" t="s">
        <v>303</v>
      </c>
      <c r="D34" s="41" t="s">
        <v>304</v>
      </c>
      <c r="E34" s="17" t="n">
        <v>4.67</v>
      </c>
      <c r="F34" s="17" t="n">
        <v>0.61</v>
      </c>
      <c r="G34" s="0" t="n">
        <v>0.09463112099317</v>
      </c>
      <c r="H34" s="0" t="n">
        <v>0.881272949527132</v>
      </c>
      <c r="I34" s="0" t="n">
        <v>0.022690972072111</v>
      </c>
      <c r="J34" s="0" t="n">
        <v>0.001404957407588</v>
      </c>
      <c r="K34" s="0" t="n">
        <v>0</v>
      </c>
      <c r="L34" s="0" t="n">
        <v>0.143032131039269</v>
      </c>
      <c r="M34" s="0" t="n">
        <v>15.652536136508</v>
      </c>
      <c r="N34" s="0" t="n">
        <v>0.740011979996299</v>
      </c>
      <c r="O34" s="0" t="n">
        <v>67.4834425707217</v>
      </c>
    </row>
    <row r="35" customFormat="false" ht="13.8" hidden="false" customHeight="false" outlineLevel="0" collapsed="false">
      <c r="A35" s="0" t="n">
        <v>82</v>
      </c>
      <c r="B35" s="0" t="n">
        <v>8641</v>
      </c>
      <c r="C35" s="0" t="s">
        <v>305</v>
      </c>
      <c r="D35" s="41" t="s">
        <v>306</v>
      </c>
      <c r="E35" s="17" t="n">
        <v>4.71</v>
      </c>
      <c r="F35" s="17" t="n">
        <v>0.54</v>
      </c>
      <c r="G35" s="0" t="n">
        <v>0</v>
      </c>
      <c r="H35" s="0" t="n">
        <v>0.092321903141911</v>
      </c>
      <c r="I35" s="0" t="n">
        <v>0</v>
      </c>
      <c r="J35" s="0" t="n">
        <v>0.907678096858089</v>
      </c>
      <c r="K35" s="0" t="n">
        <v>0</v>
      </c>
      <c r="L35" s="0" t="n">
        <v>0.104973464713532</v>
      </c>
      <c r="M35" s="0" t="n">
        <v>15.4637698025146</v>
      </c>
      <c r="N35" s="0" t="n">
        <v>0.732161288787587</v>
      </c>
      <c r="O35" s="0" t="n">
        <v>70.0615591442976</v>
      </c>
    </row>
    <row r="36" customFormat="false" ht="13.8" hidden="false" customHeight="false" outlineLevel="0" collapsed="false">
      <c r="A36" s="0" t="n">
        <v>86</v>
      </c>
      <c r="B36" s="41" t="n">
        <v>8807</v>
      </c>
      <c r="C36" s="41" t="s">
        <v>307</v>
      </c>
      <c r="D36" s="41" t="s">
        <v>308</v>
      </c>
      <c r="E36" s="17" t="n">
        <v>4.38</v>
      </c>
      <c r="F36" s="17" t="n">
        <v>0.3</v>
      </c>
      <c r="G36" s="0" t="n">
        <v>0</v>
      </c>
      <c r="H36" s="0" t="n">
        <v>0.413229386270227</v>
      </c>
      <c r="I36" s="0" t="n">
        <v>0</v>
      </c>
      <c r="J36" s="0" t="n">
        <v>0.586770613729773</v>
      </c>
      <c r="K36" s="0" t="n">
        <v>0</v>
      </c>
      <c r="L36" s="0" t="n">
        <v>0.0120661847791185</v>
      </c>
      <c r="M36" s="0" t="n">
        <v>14.6457341433212</v>
      </c>
      <c r="N36" s="0" t="n">
        <v>0.620431825807152</v>
      </c>
      <c r="O36" s="0" t="n">
        <v>89.6872397255381</v>
      </c>
    </row>
    <row r="37" customFormat="false" ht="13.8" hidden="false" customHeight="false" outlineLevel="0" collapsed="false">
      <c r="A37" s="0" t="n">
        <v>90</v>
      </c>
      <c r="B37" s="41" t="n">
        <v>8973</v>
      </c>
      <c r="C37" s="41" t="s">
        <v>309</v>
      </c>
      <c r="D37" s="41" t="s">
        <v>310</v>
      </c>
      <c r="E37" s="17" t="n">
        <v>3.53</v>
      </c>
      <c r="F37" s="17" t="n">
        <v>0.24</v>
      </c>
      <c r="G37" s="0" t="n">
        <v>0</v>
      </c>
      <c r="H37" s="0" t="n">
        <v>0.343733952475344</v>
      </c>
      <c r="I37" s="0" t="n">
        <v>0.656266047524656</v>
      </c>
      <c r="J37" s="0" t="n">
        <v>0</v>
      </c>
      <c r="K37" s="0" t="n">
        <v>0</v>
      </c>
      <c r="L37" s="0" t="n">
        <v>0.100617535411511</v>
      </c>
      <c r="M37" s="0" t="n">
        <v>15.630778693895</v>
      </c>
      <c r="N37" s="0" t="n">
        <v>0.732695726437189</v>
      </c>
      <c r="O37" s="0" t="n">
        <v>70.8330272463123</v>
      </c>
    </row>
    <row r="38" customFormat="false" ht="13.8" hidden="false" customHeight="false" outlineLevel="0" collapsed="false">
      <c r="A38" s="0" t="n">
        <v>94</v>
      </c>
      <c r="B38" s="41" t="n">
        <v>9140</v>
      </c>
      <c r="C38" s="41" t="s">
        <v>311</v>
      </c>
      <c r="D38" s="41" t="s">
        <v>312</v>
      </c>
      <c r="E38" s="17" t="n">
        <v>3.74</v>
      </c>
      <c r="F38" s="17" t="n">
        <v>0.27</v>
      </c>
      <c r="G38" s="0" t="n">
        <v>0</v>
      </c>
      <c r="H38" s="0" t="n">
        <v>0</v>
      </c>
      <c r="I38" s="0" t="n">
        <v>1</v>
      </c>
      <c r="J38" s="0" t="n">
        <v>0</v>
      </c>
      <c r="K38" s="0" t="n">
        <v>0</v>
      </c>
      <c r="L38" s="0" t="n">
        <v>0.0549053168193036</v>
      </c>
      <c r="M38" s="0" t="n">
        <v>15.7494552140201</v>
      </c>
      <c r="N38" s="0" t="n">
        <v>0.762207563996208</v>
      </c>
      <c r="O38" s="0" t="n">
        <v>68.9243900925944</v>
      </c>
    </row>
    <row r="39" customFormat="false" ht="13.8" hidden="false" customHeight="false" outlineLevel="0" collapsed="false">
      <c r="A39" s="0" t="n">
        <v>98</v>
      </c>
      <c r="B39" s="41" t="n">
        <v>9305</v>
      </c>
      <c r="C39" s="41" t="s">
        <v>313</v>
      </c>
      <c r="D39" s="41" t="s">
        <v>314</v>
      </c>
      <c r="E39" s="17" t="n">
        <v>3</v>
      </c>
      <c r="F39" s="17" t="n">
        <v>0.25</v>
      </c>
      <c r="G39" s="0" t="n">
        <v>0</v>
      </c>
      <c r="H39" s="0" t="n">
        <v>1</v>
      </c>
      <c r="I39" s="0" t="n">
        <v>0</v>
      </c>
      <c r="J39" s="0" t="n">
        <v>0</v>
      </c>
      <c r="K39" s="0" t="n">
        <v>0</v>
      </c>
      <c r="L39" s="0" t="n">
        <v>0.0574358309155213</v>
      </c>
      <c r="M39" s="0" t="n">
        <v>16.3065358421516</v>
      </c>
      <c r="N39" s="0" t="n">
        <v>0.614829085589204</v>
      </c>
      <c r="O39" s="0" t="n">
        <v>72.978415463788</v>
      </c>
    </row>
    <row r="40" customFormat="false" ht="13.8" hidden="false" customHeight="false" outlineLevel="0" collapsed="false">
      <c r="A40" s="0" t="n">
        <v>102</v>
      </c>
      <c r="B40" s="41" t="n">
        <v>9457</v>
      </c>
      <c r="C40" s="41" t="s">
        <v>315</v>
      </c>
      <c r="D40" s="41" t="s">
        <v>316</v>
      </c>
      <c r="E40" s="17" t="n">
        <v>2.8</v>
      </c>
      <c r="F40" s="17" t="n">
        <v>0.4</v>
      </c>
      <c r="G40" s="0" t="n">
        <v>0</v>
      </c>
      <c r="H40" s="0" t="n">
        <v>0.250031624226451</v>
      </c>
      <c r="I40" s="0" t="n">
        <v>0.749968375773549</v>
      </c>
      <c r="J40" s="0" t="n">
        <v>0</v>
      </c>
      <c r="K40" s="0" t="n">
        <v>0</v>
      </c>
      <c r="L40" s="0" t="n">
        <v>0.061682076843477</v>
      </c>
      <c r="M40" s="0" t="n">
        <v>16.2620164172386</v>
      </c>
      <c r="N40" s="0" t="n">
        <v>0</v>
      </c>
      <c r="O40" s="0" t="n">
        <v>0</v>
      </c>
    </row>
    <row r="41" customFormat="false" ht="13.8" hidden="false" customHeight="false" outlineLevel="0" collapsed="false">
      <c r="A41" s="0" t="n">
        <v>106</v>
      </c>
      <c r="B41" s="41" t="n">
        <v>9593</v>
      </c>
      <c r="C41" s="41" t="s">
        <v>317</v>
      </c>
      <c r="D41" s="41" t="s">
        <v>318</v>
      </c>
      <c r="E41" s="17" t="n">
        <v>2.01</v>
      </c>
      <c r="F41" s="17" t="n">
        <v>0.49</v>
      </c>
      <c r="G41" s="0" t="n">
        <v>0</v>
      </c>
      <c r="H41" s="0" t="n">
        <v>0.622327426739886</v>
      </c>
      <c r="I41" s="0" t="n">
        <v>0</v>
      </c>
      <c r="J41" s="0" t="n">
        <v>0</v>
      </c>
      <c r="K41" s="0" t="n">
        <v>0.377672573260114</v>
      </c>
      <c r="L41" s="0" t="n">
        <v>0.106021618191959</v>
      </c>
      <c r="M41" s="0" t="n">
        <v>16.6766629106004</v>
      </c>
      <c r="N41" s="0" t="n">
        <v>0.742469097086739</v>
      </c>
      <c r="O41" s="0" t="n">
        <v>54.4550302282086</v>
      </c>
    </row>
    <row r="42" customFormat="false" ht="13.8" hidden="false" customHeight="false" outlineLevel="0" collapsed="false">
      <c r="A42" s="0" t="n">
        <v>110</v>
      </c>
      <c r="B42" s="41" t="n">
        <v>9736</v>
      </c>
      <c r="C42" s="41" t="s">
        <v>319</v>
      </c>
      <c r="D42" s="41" t="s">
        <v>320</v>
      </c>
      <c r="E42" s="17" t="n">
        <v>2.49</v>
      </c>
      <c r="F42" s="17" t="n">
        <v>0.54</v>
      </c>
      <c r="G42" s="0" t="n">
        <v>0</v>
      </c>
      <c r="H42" s="0" t="n">
        <v>0.913538884406441</v>
      </c>
      <c r="I42" s="0" t="n">
        <v>0</v>
      </c>
      <c r="J42" s="0" t="n">
        <v>0</v>
      </c>
      <c r="K42" s="0" t="n">
        <v>0.08646111559356</v>
      </c>
      <c r="L42" s="0" t="n">
        <v>0.027071205580226</v>
      </c>
      <c r="M42" s="0" t="n">
        <v>15.9734752657998</v>
      </c>
      <c r="N42" s="0" t="n">
        <v>0.756610315551186</v>
      </c>
      <c r="O42" s="0" t="n">
        <v>59.7227443015064</v>
      </c>
    </row>
    <row r="43" customFormat="false" ht="13.8" hidden="false" customHeight="false" outlineLevel="0" collapsed="false">
      <c r="A43" s="0" t="n">
        <v>114</v>
      </c>
      <c r="B43" s="41" t="n">
        <v>9862</v>
      </c>
      <c r="C43" s="41" t="s">
        <v>321</v>
      </c>
      <c r="D43" s="41" t="s">
        <v>322</v>
      </c>
      <c r="E43" s="17" t="n">
        <v>2.75</v>
      </c>
      <c r="F43" s="17" t="n">
        <v>0.42</v>
      </c>
      <c r="G43" s="0" t="n">
        <v>0</v>
      </c>
      <c r="H43" s="0" t="n">
        <v>0.336202198000902</v>
      </c>
      <c r="I43" s="0" t="n">
        <v>0.663797801999098</v>
      </c>
      <c r="J43" s="0" t="n">
        <v>0</v>
      </c>
      <c r="K43" s="0" t="n">
        <v>0</v>
      </c>
      <c r="L43" s="0" t="n">
        <v>0.0879619664752151</v>
      </c>
      <c r="M43" s="0" t="n">
        <v>16.6217574844133</v>
      </c>
      <c r="N43" s="0" t="n">
        <v>0.563479539365105</v>
      </c>
      <c r="O43" s="0" t="n">
        <v>70.4961908225509</v>
      </c>
    </row>
    <row r="44" customFormat="false" ht="13.8" hidden="false" customHeight="false" outlineLevel="0" collapsed="false">
      <c r="A44" s="0" t="n">
        <v>118</v>
      </c>
      <c r="B44" s="41" t="n">
        <v>9994</v>
      </c>
      <c r="C44" s="41" t="s">
        <v>323</v>
      </c>
      <c r="D44" s="41" t="s">
        <v>324</v>
      </c>
      <c r="E44" s="17" t="n">
        <v>3.09</v>
      </c>
      <c r="F44" s="17" t="n">
        <v>0.33</v>
      </c>
      <c r="G44" s="0" t="n">
        <v>0</v>
      </c>
      <c r="H44" s="0" t="n">
        <v>0.578890007096596</v>
      </c>
      <c r="I44" s="0" t="n">
        <v>0.170215539906517</v>
      </c>
      <c r="J44" s="0" t="n">
        <v>0.250894452996887</v>
      </c>
      <c r="K44" s="0" t="n">
        <v>0</v>
      </c>
      <c r="L44" s="0" t="n">
        <v>0.0304559471927007</v>
      </c>
      <c r="M44" s="0" t="n">
        <v>16.1617238223192</v>
      </c>
      <c r="N44" s="0" t="n">
        <v>0.476513893759259</v>
      </c>
      <c r="O44" s="0" t="n">
        <v>80.0741743036438</v>
      </c>
    </row>
    <row r="45" customFormat="false" ht="13.8" hidden="false" customHeight="false" outlineLevel="0" collapsed="false">
      <c r="A45" s="0" t="n">
        <v>122</v>
      </c>
      <c r="B45" s="41" t="n">
        <v>10139</v>
      </c>
      <c r="C45" s="41" t="s">
        <v>325</v>
      </c>
      <c r="D45" s="41" t="s">
        <v>326</v>
      </c>
      <c r="E45" s="17" t="n">
        <v>3.08</v>
      </c>
      <c r="F45" s="17" t="n">
        <v>0.39</v>
      </c>
      <c r="G45" s="0" t="n">
        <v>0</v>
      </c>
      <c r="H45" s="0" t="n">
        <v>0.024932310050951</v>
      </c>
      <c r="I45" s="0" t="n">
        <v>0.566918605764381</v>
      </c>
      <c r="J45" s="0" t="n">
        <v>0.300803051393509</v>
      </c>
      <c r="K45" s="0" t="n">
        <v>0.107346032791159</v>
      </c>
      <c r="L45" s="0" t="n">
        <v>0.0304559471927007</v>
      </c>
      <c r="M45" s="0" t="n">
        <v>16.5341142942294</v>
      </c>
      <c r="N45" s="0" t="n">
        <v>0.545443185079738</v>
      </c>
      <c r="O45" s="0" t="n">
        <v>89.2159347060304</v>
      </c>
    </row>
    <row r="46" customFormat="false" ht="13.8" hidden="false" customHeight="false" outlineLevel="0" collapsed="false">
      <c r="A46" s="0" t="n">
        <v>126</v>
      </c>
      <c r="B46" s="41" t="n">
        <v>10279</v>
      </c>
      <c r="C46" s="41" t="s">
        <v>327</v>
      </c>
      <c r="D46" s="41" t="s">
        <v>328</v>
      </c>
      <c r="E46" s="17" t="n">
        <v>3.82</v>
      </c>
      <c r="F46" s="17" t="n">
        <v>0.26</v>
      </c>
      <c r="G46" s="0" t="n">
        <v>0.026299331153164</v>
      </c>
      <c r="H46" s="0" t="n">
        <v>0.973700668846836</v>
      </c>
      <c r="I46" s="0" t="n">
        <v>0</v>
      </c>
      <c r="J46" s="0" t="n">
        <v>0</v>
      </c>
      <c r="K46" s="0" t="n">
        <v>0</v>
      </c>
      <c r="L46" s="0" t="n">
        <v>0.00641330700998013</v>
      </c>
      <c r="M46" s="0" t="n">
        <v>15.7765276543567</v>
      </c>
      <c r="N46" s="0" t="n">
        <v>0.780594978462066</v>
      </c>
      <c r="O46" s="0" t="n">
        <v>82.1678535803132</v>
      </c>
    </row>
    <row r="47" customFormat="false" ht="13.8" hidden="false" customHeight="false" outlineLevel="0" collapsed="false">
      <c r="A47" s="0" t="n">
        <v>130</v>
      </c>
      <c r="B47" s="41" t="n">
        <v>10418</v>
      </c>
      <c r="C47" s="41" t="s">
        <v>329</v>
      </c>
      <c r="D47" s="41" t="s">
        <v>330</v>
      </c>
      <c r="E47" s="17" t="n">
        <v>3.52</v>
      </c>
      <c r="F47" s="17" t="n">
        <v>0.47</v>
      </c>
      <c r="G47" s="0" t="n">
        <v>0</v>
      </c>
      <c r="H47" s="0" t="n">
        <v>0.621453518716752</v>
      </c>
      <c r="I47" s="0" t="n">
        <v>0</v>
      </c>
      <c r="J47" s="0" t="n">
        <v>0</v>
      </c>
      <c r="K47" s="0" t="n">
        <v>0.378546481283248</v>
      </c>
      <c r="L47" s="0" t="n">
        <v>0.0532695279596208</v>
      </c>
      <c r="M47" s="0" t="n">
        <v>16.7099321032316</v>
      </c>
      <c r="N47" s="0" t="n">
        <v>0.396128307604734</v>
      </c>
      <c r="O47" s="0" t="n">
        <v>51.2688532790652</v>
      </c>
    </row>
    <row r="48" customFormat="false" ht="13.8" hidden="false" customHeight="false" outlineLevel="0" collapsed="false">
      <c r="A48" s="0" t="n">
        <v>134</v>
      </c>
      <c r="B48" s="41" t="n">
        <v>10558</v>
      </c>
      <c r="C48" s="41" t="s">
        <v>331</v>
      </c>
      <c r="D48" s="41" t="s">
        <v>332</v>
      </c>
      <c r="E48" s="17" t="n">
        <v>3.21</v>
      </c>
      <c r="F48" s="17" t="n">
        <v>0.25</v>
      </c>
      <c r="G48" s="0" t="n">
        <v>0</v>
      </c>
      <c r="H48" s="0" t="n">
        <v>1</v>
      </c>
      <c r="I48" s="0" t="n">
        <v>0</v>
      </c>
      <c r="J48" s="0" t="n">
        <v>0</v>
      </c>
      <c r="K48" s="0" t="n">
        <v>0</v>
      </c>
      <c r="L48" s="0" t="n">
        <v>0.0858250045303112</v>
      </c>
      <c r="M48" s="0" t="n">
        <v>16.6701471594798</v>
      </c>
      <c r="N48" s="0" t="n">
        <v>0</v>
      </c>
      <c r="O48" s="0" t="n">
        <v>100</v>
      </c>
    </row>
    <row r="49" customFormat="false" ht="13.8" hidden="false" customHeight="false" outlineLevel="0" collapsed="false">
      <c r="A49" s="0" t="n">
        <v>138</v>
      </c>
      <c r="B49" s="41" t="n">
        <v>10704</v>
      </c>
      <c r="C49" s="41" t="s">
        <v>333</v>
      </c>
      <c r="D49" s="41" t="s">
        <v>334</v>
      </c>
      <c r="E49" s="17" t="n">
        <v>2.59</v>
      </c>
      <c r="F49" s="17" t="n">
        <v>0.34</v>
      </c>
      <c r="G49" s="0" t="n">
        <v>0</v>
      </c>
      <c r="H49" s="0" t="n">
        <v>0.803721828133495</v>
      </c>
      <c r="I49" s="0" t="n">
        <v>0</v>
      </c>
      <c r="J49" s="0" t="n">
        <v>0</v>
      </c>
      <c r="K49" s="0" t="n">
        <v>0.196278171866505</v>
      </c>
      <c r="L49" s="0" t="n">
        <v>0.151740435367579</v>
      </c>
      <c r="M49" s="0" t="n">
        <v>15.9073163928396</v>
      </c>
      <c r="N49" s="0" t="n">
        <v>0.219894791458821</v>
      </c>
      <c r="O49" s="0" t="n">
        <v>24.5226244883545</v>
      </c>
    </row>
    <row r="50" customFormat="false" ht="13.8" hidden="false" customHeight="false" outlineLevel="0" collapsed="false">
      <c r="A50" s="0" t="n">
        <v>142</v>
      </c>
      <c r="B50" s="41" t="n">
        <v>10836</v>
      </c>
      <c r="C50" s="41" t="s">
        <v>335</v>
      </c>
      <c r="D50" s="41" t="s">
        <v>336</v>
      </c>
      <c r="E50" s="17" t="n">
        <v>1.18</v>
      </c>
      <c r="F50" s="17" t="n">
        <v>0.27</v>
      </c>
      <c r="G50" s="0" t="n">
        <v>0</v>
      </c>
      <c r="H50" s="0" t="n">
        <v>0.662489193104361</v>
      </c>
      <c r="I50" s="0" t="n">
        <v>0</v>
      </c>
      <c r="J50" s="0" t="n">
        <v>0</v>
      </c>
      <c r="K50" s="0" t="n">
        <v>0.337510806895639</v>
      </c>
      <c r="L50" s="0" t="n">
        <v>0.412446868388874</v>
      </c>
      <c r="M50" s="0" t="n">
        <v>14.577848152507</v>
      </c>
      <c r="N50" s="0" t="n">
        <v>0</v>
      </c>
      <c r="O50" s="0" t="n">
        <v>0</v>
      </c>
    </row>
    <row r="51" customFormat="false" ht="13.8" hidden="false" customHeight="false" outlineLevel="0" collapsed="false">
      <c r="A51" s="0" t="n">
        <v>146</v>
      </c>
      <c r="B51" s="41" t="n">
        <v>10967</v>
      </c>
      <c r="C51" s="41" t="s">
        <v>337</v>
      </c>
      <c r="D51" s="41" t="s">
        <v>338</v>
      </c>
      <c r="E51" s="17" t="n">
        <v>2.27</v>
      </c>
      <c r="F51" s="17" t="n">
        <v>0.38</v>
      </c>
      <c r="G51" s="0" t="n">
        <v>0</v>
      </c>
      <c r="H51" s="0" t="n">
        <v>0.957141160390223</v>
      </c>
      <c r="I51" s="0" t="n">
        <v>0</v>
      </c>
      <c r="J51" s="0" t="n">
        <v>0</v>
      </c>
      <c r="K51" s="0" t="n">
        <v>0.042858839609777</v>
      </c>
      <c r="L51" s="0" t="n">
        <v>0.296670505912702</v>
      </c>
      <c r="M51" s="0" t="n">
        <v>14.2762700316057</v>
      </c>
      <c r="N51" s="0" t="n">
        <v>0</v>
      </c>
      <c r="O51" s="0" t="n">
        <v>0</v>
      </c>
    </row>
    <row r="52" customFormat="false" ht="13.8" hidden="false" customHeight="false" outlineLevel="0" collapsed="false">
      <c r="A52" s="0" t="n">
        <v>150</v>
      </c>
      <c r="B52" s="41" t="n">
        <v>11158</v>
      </c>
      <c r="C52" s="41" t="s">
        <v>339</v>
      </c>
      <c r="D52" s="41" t="s">
        <v>340</v>
      </c>
      <c r="E52" s="17" t="n">
        <v>6.51</v>
      </c>
      <c r="F52" s="17" t="n">
        <v>0.17</v>
      </c>
      <c r="G52" s="0" t="n">
        <v>0.09851296029777</v>
      </c>
      <c r="H52" s="0" t="n">
        <v>0.90148703970223</v>
      </c>
      <c r="I52" s="0" t="n">
        <v>0</v>
      </c>
      <c r="J52" s="0" t="n">
        <v>0</v>
      </c>
      <c r="K52" s="0" t="n">
        <v>0</v>
      </c>
      <c r="L52" s="0" t="n">
        <v>0.102142901898536</v>
      </c>
      <c r="M52" s="0" t="n">
        <v>17.0278453736277</v>
      </c>
      <c r="N52" s="0" t="n">
        <v>0.085609587428574</v>
      </c>
      <c r="O52" s="0" t="n">
        <v>24.3724332087023</v>
      </c>
    </row>
    <row r="53" customFormat="false" ht="13.8" hidden="false" customHeight="false" outlineLevel="0" collapsed="false">
      <c r="A53" s="0" t="n">
        <v>154</v>
      </c>
      <c r="B53" s="41" t="n">
        <v>11442</v>
      </c>
      <c r="C53" s="41" t="s">
        <v>341</v>
      </c>
      <c r="D53" s="41" t="s">
        <v>342</v>
      </c>
      <c r="E53" s="17" t="n">
        <v>5.49</v>
      </c>
      <c r="F53" s="17" t="n">
        <v>0.13</v>
      </c>
      <c r="G53" s="0" t="n">
        <v>0.020218351090609</v>
      </c>
      <c r="H53" s="0" t="n">
        <v>0.95568217962507</v>
      </c>
      <c r="I53" s="0" t="n">
        <v>0.024099469284322</v>
      </c>
      <c r="J53" s="0" t="n">
        <v>0</v>
      </c>
      <c r="K53" s="0" t="n">
        <v>0</v>
      </c>
      <c r="L53" s="0" t="n">
        <v>0.31226535016407</v>
      </c>
      <c r="M53" s="0" t="n">
        <v>16.671357413798</v>
      </c>
      <c r="N53" s="0" t="n">
        <v>0.206420500412873</v>
      </c>
      <c r="O53" s="0" t="n">
        <v>35.0281774832441</v>
      </c>
    </row>
    <row r="54" customFormat="false" ht="13.8" hidden="false" customHeight="false" outlineLevel="0" collapsed="false">
      <c r="A54" s="0" t="n">
        <v>158</v>
      </c>
      <c r="B54" s="41" t="n">
        <v>11945</v>
      </c>
      <c r="C54" s="41" t="s">
        <v>343</v>
      </c>
      <c r="D54" s="41" t="s">
        <v>344</v>
      </c>
      <c r="E54" s="17" t="n">
        <v>3.58</v>
      </c>
      <c r="F54" s="17" t="n">
        <v>0.08</v>
      </c>
      <c r="G54" s="0" t="n">
        <v>0.087399936848939</v>
      </c>
      <c r="H54" s="0" t="n">
        <v>0.731952446670073</v>
      </c>
      <c r="I54" s="0" t="n">
        <v>0.180647616480988</v>
      </c>
      <c r="J54" s="0" t="n">
        <v>0</v>
      </c>
      <c r="K54" s="0" t="n">
        <v>0</v>
      </c>
      <c r="L54" s="0" t="n">
        <v>0.458441678571796</v>
      </c>
      <c r="M54" s="0" t="n">
        <v>16.6449053724569</v>
      </c>
      <c r="N54" s="0" t="n">
        <v>0.113309992534177</v>
      </c>
      <c r="O54" s="0" t="n">
        <v>15.8190442712776</v>
      </c>
    </row>
    <row r="55" customFormat="false" ht="13.8" hidden="false" customHeight="false" outlineLevel="0" collapsed="false">
      <c r="A55" s="0" t="n">
        <v>162</v>
      </c>
      <c r="B55" s="41" t="n">
        <v>12249</v>
      </c>
      <c r="C55" s="41" t="s">
        <v>345</v>
      </c>
      <c r="D55" s="41" t="s">
        <v>346</v>
      </c>
      <c r="E55" s="17" t="n">
        <v>2.04</v>
      </c>
      <c r="F55" s="17" t="n">
        <v>0</v>
      </c>
      <c r="G55" s="0" t="n">
        <v>0.152503378873564</v>
      </c>
      <c r="H55" s="0" t="n">
        <v>0.67083755273757</v>
      </c>
      <c r="I55" s="0" t="n">
        <v>0.176659068388866</v>
      </c>
      <c r="J55" s="0" t="n">
        <v>0</v>
      </c>
      <c r="K55" s="0" t="n">
        <v>0</v>
      </c>
      <c r="L55" s="0" t="n">
        <v>0.0325583886638705</v>
      </c>
      <c r="M55" s="0" t="n">
        <v>16.5190067126871</v>
      </c>
      <c r="N55" s="0" t="n">
        <v>0.29555009919153</v>
      </c>
      <c r="O55" s="0" t="n">
        <v>30.8624274483094</v>
      </c>
    </row>
    <row r="56" customFormat="false" ht="13.8" hidden="false" customHeight="false" outlineLevel="0" collapsed="false">
      <c r="A56" s="0" t="n">
        <v>166</v>
      </c>
      <c r="B56" s="41" t="n">
        <v>12472</v>
      </c>
      <c r="C56" s="41" t="s">
        <v>347</v>
      </c>
      <c r="D56" s="41" t="s">
        <v>348</v>
      </c>
      <c r="E56" s="17" t="n">
        <v>1.07</v>
      </c>
      <c r="F56" s="17" t="n">
        <v>0.05</v>
      </c>
      <c r="G56" s="0" t="n">
        <v>0.254117939326741</v>
      </c>
      <c r="H56" s="0" t="n">
        <v>0.5787587508959</v>
      </c>
      <c r="I56" s="0" t="n">
        <v>0.157170958900376</v>
      </c>
      <c r="J56" s="0" t="n">
        <v>0.009952350876983</v>
      </c>
      <c r="K56" s="0" t="n">
        <v>0</v>
      </c>
      <c r="L56" s="0" t="n">
        <v>0.736836933236375</v>
      </c>
      <c r="M56" s="0" t="n">
        <v>16.4868684649317</v>
      </c>
      <c r="N56" s="0" t="n">
        <v>0.296415410073658</v>
      </c>
      <c r="O56" s="0" t="n">
        <v>21.3727118822918</v>
      </c>
    </row>
    <row r="57" customFormat="false" ht="13.8" hidden="false" customHeight="false" outlineLevel="0" collapsed="false">
      <c r="A57" s="0" t="n">
        <v>170</v>
      </c>
      <c r="B57" s="41" t="n">
        <v>12583</v>
      </c>
      <c r="C57" s="41" t="s">
        <v>349</v>
      </c>
      <c r="D57" s="41" t="s">
        <v>350</v>
      </c>
      <c r="E57" s="17" t="n">
        <v>0.46</v>
      </c>
      <c r="F57" s="17" t="n">
        <v>0.06</v>
      </c>
      <c r="G57" s="0" t="n">
        <v>0.046390826345593</v>
      </c>
      <c r="H57" s="0" t="n">
        <v>0.142349694114476</v>
      </c>
      <c r="I57" s="0" t="n">
        <v>0.020637356553548</v>
      </c>
      <c r="J57" s="0" t="n">
        <v>0.016404970193528</v>
      </c>
      <c r="K57" s="0" t="n">
        <v>0.774217152792856</v>
      </c>
      <c r="L57" s="0" t="n">
        <v>0.193550378844678</v>
      </c>
      <c r="M57" s="0" t="n">
        <v>15.5767873617402</v>
      </c>
      <c r="N57" s="0" t="n">
        <v>0</v>
      </c>
      <c r="O57" s="0" t="n">
        <v>0</v>
      </c>
    </row>
    <row r="58" customFormat="false" ht="13.8" hidden="false" customHeight="false" outlineLevel="0" collapsed="false">
      <c r="A58" s="0" t="n">
        <v>174</v>
      </c>
      <c r="B58" s="41" t="n">
        <v>12650</v>
      </c>
      <c r="C58" s="41" t="s">
        <v>351</v>
      </c>
      <c r="D58" s="41" t="s">
        <v>352</v>
      </c>
      <c r="E58" s="17" t="n">
        <v>0.19</v>
      </c>
      <c r="F58" s="17" t="n">
        <v>0.172</v>
      </c>
      <c r="G58" s="0" t="n">
        <v>0.086191510325237</v>
      </c>
      <c r="H58" s="0" t="n">
        <v>0.289510512426567</v>
      </c>
      <c r="I58" s="0" t="n">
        <v>0.158806031370322</v>
      </c>
      <c r="J58" s="0" t="n">
        <v>0.113170239693226</v>
      </c>
      <c r="K58" s="0" t="n">
        <v>0.352321706184648</v>
      </c>
      <c r="L58" s="0" t="n">
        <v>0.326430489568271</v>
      </c>
      <c r="M58" s="0" t="n">
        <v>15.678096777099</v>
      </c>
      <c r="N58" s="0" t="n">
        <v>0.161584709271685</v>
      </c>
      <c r="O58" s="0" t="n">
        <v>6.58735304716722</v>
      </c>
    </row>
    <row r="59" customFormat="false" ht="13.8" hidden="false" customHeight="false" outlineLevel="0" collapsed="false">
      <c r="A59" s="0" t="n">
        <v>178</v>
      </c>
      <c r="B59" s="41" t="n">
        <v>12711</v>
      </c>
      <c r="C59" s="41" t="s">
        <v>353</v>
      </c>
      <c r="D59" s="41" t="s">
        <v>354</v>
      </c>
      <c r="E59" s="17" t="n">
        <v>0.19</v>
      </c>
      <c r="F59" s="17" t="n">
        <v>0.0083</v>
      </c>
      <c r="G59" s="0" t="n">
        <v>0.061487715573177</v>
      </c>
      <c r="H59" s="0" t="n">
        <v>0.138948468962044</v>
      </c>
      <c r="I59" s="0" t="n">
        <v>0.149645400662357</v>
      </c>
      <c r="J59" s="0" t="n">
        <v>0.129973403540628</v>
      </c>
      <c r="K59" s="0" t="n">
        <v>0.519945011261794</v>
      </c>
      <c r="L59" s="0" t="n">
        <v>0.111847763403912</v>
      </c>
      <c r="M59" s="0" t="n">
        <v>13.9218671212997</v>
      </c>
      <c r="N59" s="0" t="n">
        <v>0</v>
      </c>
      <c r="O59" s="0" t="n">
        <v>0</v>
      </c>
    </row>
    <row r="60" customFormat="false" ht="13.8" hidden="false" customHeight="false" outlineLevel="0" collapsed="false">
      <c r="A60" s="0" t="n">
        <v>182</v>
      </c>
      <c r="B60" s="41" t="n">
        <v>12777</v>
      </c>
      <c r="C60" s="41" t="s">
        <v>355</v>
      </c>
      <c r="D60" s="41" t="s">
        <v>356</v>
      </c>
      <c r="E60" s="17" t="n">
        <v>0.24</v>
      </c>
      <c r="F60" s="17" t="n">
        <v>0.0009</v>
      </c>
      <c r="G60" s="0" t="n">
        <v>0.134336334388541</v>
      </c>
      <c r="H60" s="0" t="n">
        <v>0.20053745020079</v>
      </c>
      <c r="I60" s="0" t="n">
        <v>0.078438157533301</v>
      </c>
      <c r="J60" s="0" t="n">
        <v>0</v>
      </c>
      <c r="K60" s="0" t="n">
        <v>0.586688057877368</v>
      </c>
      <c r="L60" s="0" t="n">
        <v>0.111847763403912</v>
      </c>
      <c r="M60" s="0" t="n">
        <v>13.9218671212997</v>
      </c>
      <c r="N60" s="0" t="n">
        <v>0.268383852592094</v>
      </c>
      <c r="O60" s="0" t="n">
        <v>19.6174542207821</v>
      </c>
    </row>
    <row r="61" customFormat="false" ht="13.8" hidden="false" customHeight="false" outlineLevel="0" collapsed="false">
      <c r="A61" s="0" t="n">
        <v>186</v>
      </c>
      <c r="B61" s="41" t="n">
        <v>12844</v>
      </c>
      <c r="C61" s="41" t="s">
        <v>357</v>
      </c>
      <c r="D61" s="41" t="s">
        <v>358</v>
      </c>
      <c r="E61" s="17" t="n">
        <v>0.37</v>
      </c>
      <c r="F61" s="17" t="n">
        <v>0</v>
      </c>
      <c r="G61" s="0" t="n">
        <v>0.401256818329707</v>
      </c>
      <c r="H61" s="0" t="n">
        <v>0.534940662319477</v>
      </c>
      <c r="I61" s="0" t="n">
        <v>0.063802519350816</v>
      </c>
      <c r="J61" s="0" t="n">
        <v>0</v>
      </c>
      <c r="K61" s="0" t="n">
        <v>0</v>
      </c>
      <c r="L61" s="0" t="n">
        <v>0.274579074049158</v>
      </c>
      <c r="M61" s="0" t="n">
        <v>13.9599064401793</v>
      </c>
      <c r="N61" s="0" t="n">
        <v>0.0925032734029687</v>
      </c>
      <c r="O61" s="0" t="n">
        <v>16.7025519618464</v>
      </c>
    </row>
    <row r="62" customFormat="false" ht="13.8" hidden="false" customHeight="false" outlineLevel="0" collapsed="false">
      <c r="A62" s="0" t="n">
        <v>190</v>
      </c>
      <c r="B62" s="41" t="n">
        <v>12909</v>
      </c>
      <c r="C62" s="41" t="s">
        <v>359</v>
      </c>
      <c r="D62" s="41" t="s">
        <v>360</v>
      </c>
      <c r="E62" s="17" t="n">
        <v>0.31</v>
      </c>
      <c r="F62" s="17" t="n">
        <v>0.116</v>
      </c>
      <c r="G62" s="0" t="n">
        <v>0.364868394095591</v>
      </c>
      <c r="H62" s="0" t="n">
        <v>0.347551312563398</v>
      </c>
      <c r="I62" s="0" t="n">
        <v>0.189144704909751</v>
      </c>
      <c r="J62" s="0" t="n">
        <v>0.098435588431261</v>
      </c>
      <c r="K62" s="0" t="n">
        <v>0</v>
      </c>
      <c r="L62" s="0" t="n">
        <v>0.768817421881675</v>
      </c>
      <c r="M62" s="0" t="n">
        <v>13.435773101857</v>
      </c>
      <c r="N62" s="0" t="n">
        <v>0.215681950040301</v>
      </c>
      <c r="O62" s="0" t="n">
        <v>29.9967634395004</v>
      </c>
    </row>
    <row r="63" customFormat="false" ht="13.8" hidden="false" customHeight="false" outlineLevel="0" collapsed="false">
      <c r="A63" s="0" t="n">
        <v>194</v>
      </c>
      <c r="B63" s="41" t="n">
        <v>12973</v>
      </c>
      <c r="C63" s="41" t="s">
        <v>361</v>
      </c>
      <c r="D63" s="41" t="s">
        <v>362</v>
      </c>
      <c r="E63" s="17" t="n">
        <v>0.31</v>
      </c>
      <c r="F63" s="17" t="n">
        <v>0.157</v>
      </c>
      <c r="G63" s="0" t="n">
        <v>0.363754993483431</v>
      </c>
      <c r="H63" s="0" t="n">
        <v>0.422751535236765</v>
      </c>
      <c r="I63" s="0" t="n">
        <v>0.180231638803644</v>
      </c>
      <c r="J63" s="0" t="n">
        <v>0.033261832476159</v>
      </c>
      <c r="K63" s="0" t="n">
        <v>0</v>
      </c>
      <c r="L63" s="0" t="n">
        <v>0.589473154393125</v>
      </c>
      <c r="M63" s="0" t="n">
        <v>13.6348198175301</v>
      </c>
      <c r="N63" s="0" t="n">
        <v>0.365427111194469</v>
      </c>
      <c r="O63" s="0" t="n">
        <v>51.944236168836</v>
      </c>
    </row>
    <row r="64" customFormat="false" ht="13.8" hidden="false" customHeight="false" outlineLevel="0" collapsed="false">
      <c r="A64" s="0" t="n">
        <v>198</v>
      </c>
      <c r="B64" s="41" t="n">
        <v>13037</v>
      </c>
      <c r="C64" s="41" t="s">
        <v>363</v>
      </c>
      <c r="D64" s="41" t="s">
        <v>364</v>
      </c>
      <c r="E64" s="17" t="n">
        <v>0.18</v>
      </c>
      <c r="F64" s="17" t="n">
        <v>0.123</v>
      </c>
      <c r="G64" s="0" t="n">
        <v>0.339420806562925</v>
      </c>
      <c r="H64" s="0" t="n">
        <v>0.378792038062886</v>
      </c>
      <c r="I64" s="0" t="n">
        <v>0.15147848079785</v>
      </c>
      <c r="J64" s="0" t="n">
        <v>0.13030867457634</v>
      </c>
      <c r="K64" s="0" t="n">
        <v>0</v>
      </c>
      <c r="L64" s="0" t="n">
        <v>0.608260457275314</v>
      </c>
      <c r="M64" s="0" t="n">
        <v>13.1008424669483</v>
      </c>
      <c r="N64" s="0" t="n">
        <v>0.26667111254228</v>
      </c>
      <c r="O64" s="0" t="n">
        <v>36.101440270116</v>
      </c>
    </row>
    <row r="65" customFormat="false" ht="13.8" hidden="false" customHeight="false" outlineLevel="0" collapsed="false">
      <c r="A65" s="0" t="n">
        <v>202</v>
      </c>
      <c r="B65" s="41" t="n">
        <v>13223</v>
      </c>
      <c r="C65" s="41" t="s">
        <v>365</v>
      </c>
      <c r="D65" s="41" t="s">
        <v>366</v>
      </c>
      <c r="E65" s="17" t="n">
        <v>0.22</v>
      </c>
      <c r="F65" s="17" t="n">
        <v>0.076</v>
      </c>
      <c r="G65" s="0" t="n">
        <v>0.404222347658128</v>
      </c>
      <c r="H65" s="0" t="n">
        <v>0.487682046273252</v>
      </c>
      <c r="I65" s="0" t="n">
        <v>0.10809560606862</v>
      </c>
      <c r="J65" s="0" t="n">
        <v>0</v>
      </c>
      <c r="K65" s="0" t="n">
        <v>0</v>
      </c>
      <c r="L65" s="0" t="n">
        <v>0.790350648220656</v>
      </c>
      <c r="M65" s="0" t="n">
        <v>14.6843173118238</v>
      </c>
      <c r="N65" s="0" t="n">
        <v>0.128338599212988</v>
      </c>
      <c r="O65" s="0" t="n">
        <v>19.5592884510271</v>
      </c>
    </row>
    <row r="66" customFormat="false" ht="13.8" hidden="false" customHeight="false" outlineLevel="0" collapsed="false">
      <c r="A66" s="0" t="n">
        <v>206</v>
      </c>
      <c r="B66" s="41" t="n">
        <v>13545</v>
      </c>
      <c r="C66" s="41" t="s">
        <v>367</v>
      </c>
      <c r="D66" s="41" t="s">
        <v>368</v>
      </c>
      <c r="E66" s="17" t="n">
        <v>0.16</v>
      </c>
      <c r="F66" s="17" t="n">
        <v>0.155</v>
      </c>
      <c r="G66" s="0" t="n">
        <v>0.406481620406021</v>
      </c>
      <c r="H66" s="0" t="n">
        <v>0.461263897838346</v>
      </c>
      <c r="I66" s="0" t="n">
        <v>0.019632243265909</v>
      </c>
      <c r="J66" s="0" t="n">
        <v>0.017988752031789</v>
      </c>
      <c r="K66" s="0" t="n">
        <v>0.094633486457936</v>
      </c>
      <c r="L66" s="0" t="n">
        <v>0.980032327556331</v>
      </c>
      <c r="M66" s="0" t="n">
        <v>14.6532072357264</v>
      </c>
      <c r="N66" s="0" t="n">
        <v>0.234715021403993</v>
      </c>
      <c r="O66" s="0" t="n">
        <v>31.3401148688251</v>
      </c>
    </row>
    <row r="67" customFormat="false" ht="13.8" hidden="false" customHeight="false" outlineLevel="0" collapsed="false">
      <c r="A67" s="0" t="n">
        <v>210</v>
      </c>
      <c r="B67" s="41" t="n">
        <v>13904</v>
      </c>
      <c r="C67" s="41" t="s">
        <v>369</v>
      </c>
      <c r="D67" s="41" t="s">
        <v>370</v>
      </c>
      <c r="E67" s="17" t="n">
        <v>0.41</v>
      </c>
      <c r="F67" s="17" t="n">
        <v>0.098</v>
      </c>
      <c r="G67" s="0" t="n">
        <v>0.374380130312733</v>
      </c>
      <c r="H67" s="0" t="n">
        <v>0.223506961021234</v>
      </c>
      <c r="I67" s="0" t="n">
        <v>0</v>
      </c>
      <c r="J67" s="0" t="n">
        <v>0.161314448874628</v>
      </c>
      <c r="K67" s="0" t="n">
        <v>0.240798459791405</v>
      </c>
      <c r="L67" s="0" t="n">
        <v>0.220290251708593</v>
      </c>
      <c r="M67" s="0" t="n">
        <v>14.3905984734961</v>
      </c>
      <c r="N67" s="0" t="n">
        <v>0.181741601090979</v>
      </c>
      <c r="O67" s="0" t="n">
        <v>19.5819358426919</v>
      </c>
    </row>
    <row r="68" customFormat="false" ht="13.8" hidden="false" customHeight="false" outlineLevel="0" collapsed="false">
      <c r="A68" s="0" t="n">
        <v>214</v>
      </c>
      <c r="B68" s="41" t="n">
        <v>14277</v>
      </c>
      <c r="C68" s="41" t="s">
        <v>371</v>
      </c>
      <c r="D68" s="41" t="s">
        <v>372</v>
      </c>
      <c r="E68" s="17" t="n">
        <v>0.29</v>
      </c>
      <c r="F68" s="17" t="n">
        <v>0.068</v>
      </c>
      <c r="G68" s="0" t="n">
        <v>0.497858015929179</v>
      </c>
      <c r="H68" s="0" t="n">
        <v>0.405118106718643</v>
      </c>
      <c r="I68" s="0" t="n">
        <v>0.019326303019682</v>
      </c>
      <c r="J68" s="0" t="n">
        <v>0.077697574332497</v>
      </c>
      <c r="K68" s="0" t="n">
        <v>0</v>
      </c>
      <c r="L68" s="0" t="n">
        <v>0.589947556299855</v>
      </c>
      <c r="M68" s="0" t="n">
        <v>15.9401165321024</v>
      </c>
      <c r="N68" s="0" t="n">
        <v>0.0857122510755312</v>
      </c>
      <c r="O68" s="0" t="n">
        <v>13.8699679898262</v>
      </c>
    </row>
    <row r="69" customFormat="false" ht="13.8" hidden="false" customHeight="false" outlineLevel="0" collapsed="false">
      <c r="A69" s="0" t="n">
        <v>218</v>
      </c>
      <c r="B69" s="41" t="n">
        <v>14638</v>
      </c>
      <c r="C69" s="41" t="s">
        <v>373</v>
      </c>
      <c r="D69" s="41" t="s">
        <v>374</v>
      </c>
      <c r="E69" s="17" t="n">
        <v>0.35</v>
      </c>
      <c r="F69" s="17" t="n">
        <v>0.075</v>
      </c>
      <c r="G69" s="0" t="n">
        <v>0.376734943905069</v>
      </c>
      <c r="H69" s="0" t="n">
        <v>0.000230437375598</v>
      </c>
      <c r="I69" s="0" t="n">
        <v>0.003370163632082</v>
      </c>
      <c r="J69" s="0" t="n">
        <v>0.027908128991513</v>
      </c>
      <c r="K69" s="0" t="n">
        <v>0.591756326095739</v>
      </c>
      <c r="L69" s="0" t="n">
        <v>0.885278329525862</v>
      </c>
      <c r="M69" s="0" t="n">
        <v>15.9857503069086</v>
      </c>
      <c r="N69" s="0" t="n">
        <v>0.0685768738144634</v>
      </c>
      <c r="O69" s="0" t="n">
        <v>14.526345691953</v>
      </c>
    </row>
    <row r="70" customFormat="false" ht="13.8" hidden="false" customHeight="false" outlineLevel="0" collapsed="false">
      <c r="A70" s="0" t="n">
        <v>222</v>
      </c>
      <c r="B70" s="41" t="n">
        <v>14995</v>
      </c>
      <c r="C70" s="41" t="s">
        <v>375</v>
      </c>
      <c r="D70" s="41" t="s">
        <v>376</v>
      </c>
      <c r="E70" s="17" t="n">
        <v>0.18</v>
      </c>
      <c r="F70" s="17" t="n">
        <v>0.066</v>
      </c>
      <c r="G70" s="0" t="n">
        <v>0.168194311213135</v>
      </c>
      <c r="H70" s="0" t="n">
        <v>0</v>
      </c>
      <c r="I70" s="0" t="n">
        <v>0</v>
      </c>
      <c r="J70" s="0" t="n">
        <v>0.16209288383982</v>
      </c>
      <c r="K70" s="0" t="n">
        <v>0.669712804947045</v>
      </c>
      <c r="L70" s="0" t="n">
        <v>0.655406137782335</v>
      </c>
      <c r="M70" s="0" t="n">
        <v>14.7817872039742</v>
      </c>
      <c r="N70" s="0" t="n">
        <v>0.16674406493135</v>
      </c>
      <c r="O70" s="0" t="n">
        <v>29.8073626720732</v>
      </c>
    </row>
    <row r="71" customFormat="false" ht="13.8" hidden="false" customHeight="false" outlineLevel="0" collapsed="false">
      <c r="A71" s="0" t="n">
        <v>226</v>
      </c>
      <c r="B71" s="41" t="n">
        <v>15534</v>
      </c>
      <c r="C71" s="41" t="s">
        <v>377</v>
      </c>
      <c r="D71" s="41" t="s">
        <v>378</v>
      </c>
      <c r="E71" s="17" t="n">
        <v>0.48</v>
      </c>
      <c r="F71" s="17" t="n">
        <v>0.119</v>
      </c>
      <c r="G71" s="0" t="n">
        <v>0.249041234466636</v>
      </c>
      <c r="H71" s="0" t="n">
        <v>0</v>
      </c>
      <c r="I71" s="0" t="n">
        <v>0.041116034620482</v>
      </c>
      <c r="J71" s="0" t="n">
        <v>0.209844364480208</v>
      </c>
      <c r="K71" s="0" t="n">
        <v>0.499998366432674</v>
      </c>
      <c r="L71" s="0" t="n">
        <v>0.878710440556458</v>
      </c>
      <c r="M71" s="0" t="n">
        <v>15.0699235759945</v>
      </c>
      <c r="N71" s="0" t="n">
        <v>0</v>
      </c>
      <c r="O71" s="0" t="n">
        <v>18.9824196366841</v>
      </c>
    </row>
    <row r="72" customFormat="false" ht="13.8" hidden="false" customHeight="false" outlineLevel="0" collapsed="false">
      <c r="A72" s="0" t="n">
        <v>230</v>
      </c>
      <c r="B72" s="41" t="n">
        <v>16099</v>
      </c>
      <c r="C72" s="41" t="s">
        <v>379</v>
      </c>
      <c r="D72" s="41" t="s">
        <v>380</v>
      </c>
      <c r="E72" s="17" t="n">
        <v>0.71</v>
      </c>
      <c r="F72" s="17" t="n">
        <v>0.108</v>
      </c>
      <c r="G72" s="0" t="n">
        <v>0.215650038706656</v>
      </c>
      <c r="H72" s="0" t="n">
        <v>0</v>
      </c>
      <c r="I72" s="0" t="n">
        <v>0.2003775557088</v>
      </c>
      <c r="J72" s="0" t="n">
        <v>0.207645213060232</v>
      </c>
      <c r="K72" s="0" t="n">
        <v>0.376327192524313</v>
      </c>
      <c r="L72" s="0" t="n">
        <v>0.866755457021335</v>
      </c>
      <c r="M72" s="0" t="n">
        <v>15.8497655263175</v>
      </c>
      <c r="N72" s="0" t="n">
        <v>0.151771348116202</v>
      </c>
      <c r="O72" s="0" t="n">
        <v>17.7538877148497</v>
      </c>
    </row>
    <row r="73" customFormat="false" ht="13.8" hidden="false" customHeight="false" outlineLevel="0" collapsed="false">
      <c r="A73" s="0" t="n">
        <v>234</v>
      </c>
      <c r="B73" s="41" t="n">
        <v>16667</v>
      </c>
      <c r="C73" s="41" t="s">
        <v>381</v>
      </c>
      <c r="D73" s="41" t="s">
        <v>382</v>
      </c>
      <c r="E73" s="17" t="n">
        <v>0.41</v>
      </c>
      <c r="F73" s="17" t="n">
        <v>0</v>
      </c>
      <c r="G73" s="0" t="n">
        <v>0</v>
      </c>
      <c r="H73" s="0" t="n">
        <v>0</v>
      </c>
      <c r="I73" s="0" t="n">
        <v>0.109307862435615</v>
      </c>
      <c r="J73" s="0" t="n">
        <v>0.410286824310432</v>
      </c>
      <c r="K73" s="0" t="n">
        <v>0.480405313253953</v>
      </c>
      <c r="L73" s="0" t="n">
        <v>0.83960364828677</v>
      </c>
      <c r="M73" s="0" t="n">
        <v>14.2385696967089</v>
      </c>
      <c r="N73" s="0" t="n">
        <v>0</v>
      </c>
      <c r="O73" s="0" t="n">
        <v>18.0036198483311</v>
      </c>
    </row>
    <row r="74" customFormat="false" ht="13.8" hidden="false" customHeight="false" outlineLevel="0" collapsed="false">
      <c r="A74" s="0" t="n">
        <v>238</v>
      </c>
      <c r="B74" s="41" t="n">
        <v>17272</v>
      </c>
      <c r="C74" s="41" t="s">
        <v>383</v>
      </c>
      <c r="D74" s="41" t="s">
        <v>384</v>
      </c>
      <c r="E74" s="17" t="n">
        <v>0.02</v>
      </c>
      <c r="F74" s="17" t="n">
        <v>0</v>
      </c>
      <c r="G74" s="0" t="n">
        <v>0</v>
      </c>
      <c r="H74" s="0" t="n">
        <v>0</v>
      </c>
      <c r="I74" s="0" t="n">
        <v>0.25467936514971</v>
      </c>
      <c r="J74" s="0" t="n">
        <v>0.403223513716585</v>
      </c>
      <c r="K74" s="0" t="n">
        <v>0.342097121133706</v>
      </c>
      <c r="L74" s="0" t="n">
        <v>0.909169415632457</v>
      </c>
      <c r="M74" s="0" t="n">
        <v>13.6606217665831</v>
      </c>
      <c r="N74" s="0" t="n">
        <v>0</v>
      </c>
      <c r="O74" s="0" t="n">
        <v>13.134610016447</v>
      </c>
    </row>
    <row r="75" customFormat="false" ht="13.8" hidden="false" customHeight="false" outlineLevel="0" collapsed="false">
      <c r="A75" s="0" t="n">
        <v>242</v>
      </c>
      <c r="B75" s="41" t="n">
        <v>17870</v>
      </c>
      <c r="C75" s="41" t="s">
        <v>385</v>
      </c>
      <c r="D75" s="41" t="s">
        <v>386</v>
      </c>
      <c r="E75" s="17" t="n">
        <v>0.02</v>
      </c>
      <c r="F75" s="17" t="n">
        <v>0.0617</v>
      </c>
      <c r="G75" s="0" t="n">
        <v>0</v>
      </c>
      <c r="H75" s="0" t="n">
        <v>0</v>
      </c>
      <c r="I75" s="0" t="n">
        <v>0.136655166839283</v>
      </c>
      <c r="J75" s="0" t="n">
        <v>0.591473986852393</v>
      </c>
      <c r="K75" s="0" t="n">
        <v>0.271870846308324</v>
      </c>
      <c r="L75" s="0" t="n">
        <v>0.974027391713813</v>
      </c>
      <c r="M75" s="0" t="n">
        <v>14.1971506346791</v>
      </c>
      <c r="N75" s="0" t="n">
        <v>0</v>
      </c>
      <c r="O75" s="0" t="n">
        <v>0</v>
      </c>
    </row>
    <row r="76" customFormat="false" ht="13.8" hidden="false" customHeight="false" outlineLevel="0" collapsed="false">
      <c r="A76" s="0" t="n">
        <v>246</v>
      </c>
      <c r="B76" s="41" t="n">
        <v>18439</v>
      </c>
      <c r="C76" s="41" t="s">
        <v>387</v>
      </c>
      <c r="D76" s="41" t="s">
        <v>388</v>
      </c>
      <c r="E76" s="17" t="n">
        <v>0.02</v>
      </c>
      <c r="F76" s="17" t="n">
        <v>0.104</v>
      </c>
      <c r="G76" s="0" t="n">
        <v>0</v>
      </c>
      <c r="H76" s="0" t="n">
        <v>0</v>
      </c>
      <c r="I76" s="0" t="n">
        <v>0.156331431086952</v>
      </c>
      <c r="J76" s="0" t="n">
        <v>0.843668568913048</v>
      </c>
      <c r="K76" s="0" t="n">
        <v>0</v>
      </c>
      <c r="L76" s="0" t="n">
        <v>0.902177832657655</v>
      </c>
      <c r="M76" s="0" t="n">
        <v>13.4273558977921</v>
      </c>
      <c r="N76" s="0" t="n">
        <v>0</v>
      </c>
      <c r="O76" s="0" t="n">
        <v>16.5449687519106</v>
      </c>
    </row>
    <row r="77" customFormat="false" ht="13.8" hidden="false" customHeight="false" outlineLevel="0" collapsed="false">
      <c r="A77" s="0" t="n">
        <v>250</v>
      </c>
      <c r="B77" s="41" t="n">
        <v>18976</v>
      </c>
      <c r="C77" s="41" t="s">
        <v>389</v>
      </c>
      <c r="D77" s="41" t="s">
        <v>390</v>
      </c>
      <c r="E77" s="17" t="n">
        <v>0.09</v>
      </c>
      <c r="F77" s="17" t="n">
        <v>0</v>
      </c>
      <c r="G77" s="0" t="n">
        <v>0.566312606218291</v>
      </c>
      <c r="H77" s="0" t="n">
        <v>0.292754325767398</v>
      </c>
      <c r="I77" s="0" t="n">
        <v>0</v>
      </c>
      <c r="J77" s="0" t="n">
        <v>0</v>
      </c>
      <c r="K77" s="0" t="n">
        <v>0.140933068014311</v>
      </c>
      <c r="L77" s="0" t="n">
        <v>0.607221334656926</v>
      </c>
      <c r="M77" s="0" t="n">
        <v>13.220934103195</v>
      </c>
      <c r="N77" s="0" t="n">
        <v>0</v>
      </c>
      <c r="O77" s="0" t="n">
        <v>0</v>
      </c>
    </row>
    <row r="78" customFormat="false" ht="13.8" hidden="false" customHeight="false" outlineLevel="0" collapsed="false">
      <c r="A78" s="0" t="n">
        <v>254</v>
      </c>
      <c r="B78" s="41" t="n">
        <v>19486</v>
      </c>
      <c r="C78" s="41" t="s">
        <v>391</v>
      </c>
      <c r="D78" s="41" t="s">
        <v>392</v>
      </c>
      <c r="E78" s="17" t="n">
        <v>0.02</v>
      </c>
      <c r="F78" s="17" t="n">
        <v>0.00241</v>
      </c>
      <c r="G78" s="0" t="n">
        <v>0.409504526493409</v>
      </c>
      <c r="H78" s="0" t="n">
        <v>0.044796292287862</v>
      </c>
      <c r="I78" s="0" t="n">
        <v>0</v>
      </c>
      <c r="J78" s="0" t="n">
        <v>0.100504200022687</v>
      </c>
      <c r="K78" s="0" t="n">
        <v>0.445194981196042</v>
      </c>
      <c r="L78" s="0" t="n">
        <v>0.670466162190965</v>
      </c>
      <c r="M78" s="0" t="n">
        <v>10.2400593221705</v>
      </c>
      <c r="N78" s="0" t="n">
        <v>0</v>
      </c>
      <c r="O78" s="0" t="n">
        <v>0</v>
      </c>
    </row>
    <row r="79" customFormat="false" ht="13.8" hidden="false" customHeight="false" outlineLevel="0" collapsed="false">
      <c r="A79" s="0" t="n">
        <v>258</v>
      </c>
      <c r="B79" s="41" t="n">
        <v>19656</v>
      </c>
      <c r="C79" s="41" t="s">
        <v>393</v>
      </c>
      <c r="D79" s="41" t="s">
        <v>394</v>
      </c>
      <c r="E79" s="17" t="n">
        <v>0.06</v>
      </c>
      <c r="F79" s="17" t="n">
        <v>0.019</v>
      </c>
      <c r="G79" s="0" t="n">
        <v>0.846833689554967</v>
      </c>
      <c r="H79" s="0" t="n">
        <v>0.153166310445033</v>
      </c>
      <c r="I79" s="0" t="n">
        <v>0</v>
      </c>
      <c r="J79" s="0" t="n">
        <v>0</v>
      </c>
      <c r="K79" s="0" t="n">
        <v>0</v>
      </c>
      <c r="L79" s="0" t="n">
        <v>0.947132671989151</v>
      </c>
      <c r="M79" s="0" t="n">
        <v>11.6957182225933</v>
      </c>
      <c r="N79" s="0" t="n">
        <v>0</v>
      </c>
      <c r="O79" s="0" t="n">
        <v>20.0353425078084</v>
      </c>
    </row>
    <row r="80" customFormat="false" ht="13.8" hidden="false" customHeight="false" outlineLevel="0" collapsed="false">
      <c r="A80" s="0" t="n">
        <v>262</v>
      </c>
      <c r="B80" s="41" t="n">
        <v>19807</v>
      </c>
      <c r="C80" s="41" t="s">
        <v>395</v>
      </c>
      <c r="D80" s="41" t="s">
        <v>396</v>
      </c>
      <c r="E80" s="17" t="n">
        <v>0.29</v>
      </c>
      <c r="F80" s="17" t="n">
        <v>0</v>
      </c>
      <c r="G80" s="0" t="n">
        <v>1</v>
      </c>
      <c r="H80" s="0" t="n">
        <v>0</v>
      </c>
      <c r="I80" s="0" t="n">
        <v>0</v>
      </c>
      <c r="J80" s="0" t="n">
        <v>0</v>
      </c>
      <c r="K80" s="0" t="n">
        <v>0</v>
      </c>
      <c r="N80" s="0" t="n">
        <v>0</v>
      </c>
      <c r="O80" s="0" t="n">
        <v>0</v>
      </c>
    </row>
    <row r="81" customFormat="false" ht="13.8" hidden="false" customHeight="false" outlineLevel="0" collapsed="false">
      <c r="A81" s="0" t="n">
        <v>266</v>
      </c>
      <c r="B81" s="41" t="n">
        <v>19975</v>
      </c>
      <c r="C81" s="41" t="s">
        <v>397</v>
      </c>
      <c r="D81" s="41" t="s">
        <v>398</v>
      </c>
      <c r="E81" s="17" t="n">
        <v>0.29</v>
      </c>
      <c r="F81" s="17" t="n">
        <v>0</v>
      </c>
      <c r="G81" s="0" t="n">
        <v>1</v>
      </c>
      <c r="H81" s="0" t="n">
        <v>0</v>
      </c>
      <c r="I81" s="0" t="n">
        <v>0</v>
      </c>
      <c r="J81" s="0" t="n">
        <v>0</v>
      </c>
      <c r="K81" s="0" t="n">
        <v>0</v>
      </c>
      <c r="L81" s="0" t="n">
        <v>0.820928399183825</v>
      </c>
      <c r="M81" s="0" t="n">
        <v>11.2400381636049</v>
      </c>
      <c r="N81" s="0" t="n">
        <v>0</v>
      </c>
      <c r="O81" s="0" t="n">
        <v>0</v>
      </c>
    </row>
    <row r="82" customFormat="false" ht="13.8" hidden="false" customHeight="false" outlineLevel="0" collapsed="false">
      <c r="B82" s="41"/>
      <c r="C82" s="41"/>
      <c r="D82" s="41"/>
    </row>
    <row r="83" customFormat="false" ht="13.8" hidden="false" customHeight="false" outlineLevel="0" collapsed="false">
      <c r="B83" s="41"/>
      <c r="C83" s="41"/>
      <c r="D83" s="41"/>
    </row>
    <row r="84" customFormat="false" ht="13.8" hidden="false" customHeight="false" outlineLevel="0" collapsed="false">
      <c r="B84" s="41"/>
      <c r="C84" s="41"/>
      <c r="D84" s="41"/>
    </row>
    <row r="85" customFormat="false" ht="13.8" hidden="false" customHeight="false" outlineLevel="0" collapsed="false">
      <c r="B85" s="41"/>
      <c r="C85" s="41"/>
      <c r="D85" s="41"/>
    </row>
    <row r="86" customFormat="false" ht="13.8" hidden="false" customHeight="false" outlineLevel="0" collapsed="false">
      <c r="B86" s="41"/>
      <c r="C86" s="41"/>
      <c r="D86" s="41"/>
    </row>
    <row r="87" customFormat="false" ht="13.8" hidden="false" customHeight="false" outlineLevel="0" collapsed="false">
      <c r="B87" s="41"/>
      <c r="C87" s="41"/>
      <c r="D87" s="41"/>
    </row>
    <row r="88" customFormat="false" ht="13.8" hidden="false" customHeight="false" outlineLevel="0" collapsed="false">
      <c r="B88" s="41"/>
      <c r="C88" s="41"/>
      <c r="D88" s="41"/>
    </row>
    <row r="89" customFormat="false" ht="13.8" hidden="false" customHeight="false" outlineLevel="0" collapsed="false">
      <c r="B89" s="41"/>
      <c r="C89" s="41"/>
      <c r="D89" s="41"/>
    </row>
    <row r="90" customFormat="false" ht="13.8" hidden="false" customHeight="false" outlineLevel="0" collapsed="false">
      <c r="B90" s="41"/>
      <c r="C90" s="41"/>
      <c r="D90" s="41"/>
    </row>
    <row r="91" customFormat="false" ht="13.8" hidden="false" customHeight="false" outlineLevel="0" collapsed="false">
      <c r="B91" s="41"/>
      <c r="C91" s="41"/>
      <c r="D91" s="41"/>
    </row>
    <row r="92" customFormat="false" ht="13.8" hidden="false" customHeight="false" outlineLevel="0" collapsed="false">
      <c r="B92" s="41"/>
      <c r="C92" s="41"/>
      <c r="D92" s="41"/>
    </row>
    <row r="93" customFormat="false" ht="13.8" hidden="false" customHeight="false" outlineLevel="0" collapsed="false">
      <c r="B93" s="41"/>
      <c r="C93" s="41"/>
      <c r="D93" s="41"/>
    </row>
    <row r="94" customFormat="false" ht="13.8" hidden="false" customHeight="false" outlineLevel="0" collapsed="false">
      <c r="B94" s="41"/>
      <c r="C94" s="41"/>
      <c r="D94" s="41"/>
    </row>
    <row r="95" customFormat="false" ht="13.8" hidden="false" customHeight="false" outlineLevel="0" collapsed="false">
      <c r="B95" s="41"/>
      <c r="C95" s="41"/>
      <c r="D95" s="41"/>
    </row>
    <row r="96" customFormat="false" ht="13.8" hidden="false" customHeight="false" outlineLevel="0" collapsed="false"/>
    <row r="97" customFormat="false" ht="13.8" hidden="false" customHeight="false" outlineLevel="0" collapsed="false"/>
    <row r="98" customFormat="false" ht="13.8" hidden="false" customHeight="false" outlineLevel="0" collapsed="false"/>
    <row r="99" customFormat="false" ht="13.8" hidden="false" customHeight="false" outlineLevel="0" collapsed="false"/>
    <row r="100" customFormat="false" ht="13.8" hidden="false" customHeight="false" outlineLevel="0" collapsed="false"/>
    <row r="101" customFormat="false" ht="13.8" hidden="false" customHeight="false" outlineLevel="0" collapsed="false"/>
    <row r="102" customFormat="false" ht="13.8" hidden="false" customHeight="false" outlineLevel="0" collapsed="false"/>
    <row r="103" customFormat="false" ht="13.8" hidden="false" customHeight="false" outlineLevel="0" collapsed="false"/>
    <row r="104" customFormat="false" ht="13.8" hidden="false" customHeight="false" outlineLevel="0" collapsed="false"/>
    <row r="105" customFormat="false" ht="13.8" hidden="false" customHeight="false" outlineLevel="0" collapsed="false"/>
    <row r="106" customFormat="false" ht="13.8" hidden="false" customHeight="false" outlineLevel="0" collapsed="false"/>
    <row r="107" customFormat="false" ht="13.8" hidden="false" customHeight="false" outlineLevel="0" collapsed="false"/>
    <row r="108" customFormat="false" ht="13.8" hidden="false" customHeight="false" outlineLevel="0" collapsed="false"/>
    <row r="109" customFormat="false" ht="13.8" hidden="false" customHeight="false" outlineLevel="0" collapsed="false"/>
    <row r="110" customFormat="false" ht="13.8" hidden="false" customHeight="false" outlineLevel="0" collapsed="false"/>
  </sheetData>
  <dataValidations count="33">
    <dataValidation allowBlank="true" error="Pick either measured or inferred" errorStyle="stop" errorTitle="VariableType Error" operator="between" prompt="Choose either measured or inferred." promptTitle="variableType" showDropDown="false" showErrorMessage="true" showInputMessage="true" sqref="B5:B20" type="list">
      <formula1>variableType</formula1>
      <formula2>0</formula2>
    </dataValidation>
    <dataValidation allowBlank="true" error="New term added to the LinkedEarth Ontology" errorStyle="stop" errorTitle="New term added" operator="between" prompt="Select (or enter if not available) the type of proxy observation. " promptTitle="Proxy Observation" showDropDown="false" showErrorMessage="true" showInputMessage="true" sqref="D5:D20" type="list">
      <formula1>ProxyObservation</formula1>
      <formula2>0</formula2>
    </dataValidation>
    <dataValidation allowBlank="true" error="New term added to the LinkedEarth Ontology " errorStyle="stop" errorTitle="New term added" operator="between" prompt="Select (or enter if not available) the type of inferred information" promptTitle="Inferred Variable" showDropDown="false" showErrorMessage="true" showInputMessage="true" sqref="E5:E20" type="list">
      <formula1>InferredVariable</formula1>
      <formula2>0</formula2>
    </dataValidation>
    <dataValidation allowBlank="true" errorStyle="stop" operator="between" prompt="Is the Variable measured or inferred?" promptTitle="variableType" showDropDown="false" showErrorMessage="true" showInputMessage="true" sqref="B4" type="none">
      <formula1>0</formula1>
      <formula2>0</formula2>
    </dataValidation>
    <dataValidation allowBlank="true" errorStyle="stop" operator="between" prompt="What type are the measuredVariables? (Leave blank for inferredVariables and use InferredVariableType instead).&#10;For instance, if the columns contain values for Mg/Ca measurements, the type is Mg/Ca. Use the list or add your own. Leave blank for depth." promptTitle="ProxyObservationType" showDropDown="false" showErrorMessage="true" showInputMessage="true" sqref="D4" type="none">
      <formula1>0</formula1>
      <formula2>0</formula2>
    </dataValidation>
    <dataValidation allowBlank="true" errorStyle="stop" operator="between" prompt="What type are the inferredVariables? (Leave blank for measuredVariables and use ProxyObservationType instead). For instance, if the columns contain values for sea surface temperature, the type is SST. Use the list or add your own." promptTitle="InferredVariableType" showDropDown="false" showErrorMessage="true" showInputMessage="true" sqref="E4" type="none">
      <formula1>0</formula1>
      <formula2>0</formula2>
    </dataValidation>
    <dataValidation allowBlank="true" errorStyle="stop" operator="between" prompt="Point toward the depth column in the dataset. Leave blank if no depth information or if the variable represents depth" showDropDown="false" showErrorMessage="true" showInputMessage="true" sqref="F4" type="none">
      <formula1>0</formula1>
      <formula2>0</formula2>
    </dataValidation>
    <dataValidation allowBlank="true" errorStyle="stop" operator="between" prompt="From which measuredVariable is the inferredVariable inferred from? Choose one on this spreadsheet. You can add other variables on the wiki after you upload your dataset. " showDropDown="false" showErrorMessage="true" showInputMessage="true" sqref="G4" type="none">
      <formula1>0</formula1>
      <formula2>0</formula2>
    </dataValidation>
    <dataValidation allowBlank="true" errorStyle="stop" operator="between" prompt="How is the variable interpreted (not necessarily calibrated)? Refers to the name of the variable. Mg/Ca is interpreted as temperature. SST is also interpreted as temperature. If more than one interpretation, add columns (interpretation2_variable)" showDropDown="false" showErrorMessage="true" showInputMessage="true" sqref="I4" type="none">
      <formula1>0</formula1>
      <formula2>0</formula2>
    </dataValidation>
    <dataValidation allowBlank="true" errorStyle="stop" operator="between" prompt="Gives detail about the variable. For instance, &quot;sea surface&quot; for sea surface temperature" showDropDown="false" showErrorMessage="true" showInputMessage="true" sqref="J4" type="none">
      <formula1>0</formula1>
      <formula2>0</formula2>
    </dataValidation>
    <dataValidation allowBlank="true" errorStyle="stop" operator="between" prompt="What's the importance of the interpretation? For instance, temperature has rank 1 for Mg/Ca" showDropDown="false" showErrorMessage="true" showInputMessage="true" sqref="K4" type="none">
      <formula1>0</formula1>
      <formula2>0</formula2>
    </dataValidation>
    <dataValidation allowBlank="true" errorStyle="stop" operator="between" prompt="A relevant quote from the literature that forms the basis of the interpretation." showDropDown="false" showErrorMessage="true" showInputMessage="true" sqref="L4" type="none">
      <formula1>0</formula1>
      <formula2>0</formula2>
    </dataValidation>
    <dataValidation allowBlank="true" errorStyle="stop" operator="between" prompt="Is the influence on the Variable local or far-field?" showDropDown="false" showErrorMessage="true" showInputMessage="true" sqref="M4" type="none">
      <formula1>0</formula1>
      <formula2>0</formula2>
    </dataValidation>
    <dataValidation allowBlank="true" errorStyle="stop" operator="between" prompt="Is the influence local or far-field?" showDropDown="false" showErrorMessage="true" showInputMessage="true" sqref="M5:M20" type="list">
      <formula1>isLocal</formula1>
      <formula2>0</formula2>
    </dataValidation>
    <dataValidation allowBlank="true" errorStyle="stop" operator="between" prompt="Part of the interpretation metadata that describes whether the interpreted environmental variable increases (positive) or decreases (negative) as the paleodata variable increases" showDropDown="false" showErrorMessage="true" showInputMessage="true" sqref="N4" type="none">
      <formula1>0</formula1>
      <formula2>0</formula2>
    </dataValidation>
    <dataValidation allowBlank="true" errorStyle="stop" operator="between" showDropDown="false" showErrorMessage="true" showInputMessage="true" sqref="N5:N20" type="list">
      <formula1>interpDirection</formula1>
      <formula2>0</formula2>
    </dataValidation>
    <dataValidation allowBlank="true" errorStyle="stop" operator="between" prompt="Calibration equation used if any. " showDropDown="false" showErrorMessage="true" showInputMessage="true" sqref="Q4" type="none">
      <formula1>0</formula1>
      <formula2>0</formula2>
    </dataValidation>
    <dataValidation allowBlank="true" errorStyle="stop" operator="between" prompt="Notes about the calibration equation" showDropDown="false" showErrorMessage="true" showInputMessage="true" sqref="R4" type="none">
      <formula1>0</formula1>
      <formula2>0</formula2>
    </dataValidation>
    <dataValidation allowBlank="true" errorStyle="stop" operator="between" prompt="DOI of the publication containing the calibration" showDropDown="false" showErrorMessage="true" showInputMessage="true" sqref="S4" type="none">
      <formula1>0</formula1>
      <formula2>0</formula2>
    </dataValidation>
    <dataValidation allowBlank="true" errorStyle="stop" operator="between" prompt="Uncertainty on the inferred variable " showDropDown="false" showErrorMessage="true" showInputMessage="true" sqref="T4" type="none">
      <formula1>0</formula1>
      <formula2>0</formula2>
    </dataValidation>
    <dataValidation allowBlank="true" errorStyle="stop" operator="between" prompt="The type of uncertainty (e.g., calibration RMSE)" showDropDown="false" showErrorMessage="true" showInputMessage="true" sqref="U4" type="none">
      <formula1>0</formula1>
      <formula2>0</formula2>
    </dataValidation>
    <dataValidation allowBlank="true" errorStyle="stop" operator="between" prompt="Part of the interpretation metadata that describes whether the interpretation relates to climate (e.g., temperature), isotopes (e.g., d18O of precipitation), ecology..." showDropDown="false" showErrorMessage="true" showInputMessage="true" sqref="O4" type="none">
      <formula1>0</formula1>
      <formula2>0</formula2>
    </dataValidation>
    <dataValidation allowBlank="true" errorStyle="stop" operator="between" prompt="The location (i.e., laboratory, repository) where the archive is currently located" showDropDown="false" showErrorMessage="true" showInputMessage="true" sqref="AA4" type="none">
      <formula1>0</formula1>
      <formula2>0</formula2>
    </dataValidation>
    <dataValidation allowBlank="true" errorStyle="stop" operator="between" prompt="Link to the IGSN number if registered with the IGSN database&#10;" showDropDown="false" showErrorMessage="true" showInputMessage="true" sqref="Z4" type="none">
      <formula1>0</formula1>
      <formula2>0</formula2>
    </dataValidation>
    <dataValidation allowBlank="true" errorStyle="stop" operator="between" prompt="Unique identifier given to the archive (can be the number in the repository, a bar code, or a DOI)" showDropDown="false" showErrorMessage="true" showInputMessage="true" sqref="Y4" type="none">
      <formula1>0</formula1>
      <formula2>0</formula2>
    </dataValidation>
    <dataValidation allowBlank="true" errorStyle="stop" operator="between" prompt="Common name of the archive. For instance, IODP989" showDropDown="false" showErrorMessage="true" showInputMessage="true" sqref="X4" type="none">
      <formula1>0</formula1>
      <formula2>0</formula2>
    </dataValidation>
    <dataValidation allowBlank="true" errorStyle="stop" operator="between" prompt="How was the sample collected (e.g. piston core, gravity core...)?" showDropDown="false" showErrorMessage="true" showInputMessage="true" sqref="AB4" type="none">
      <formula1>0</formula1>
      <formula2>0</formula2>
    </dataValidation>
    <dataValidation allowBlank="true" errorStyle="stop" operator="between" prompt="Which part of the seasonal cycle is being represented?" showDropDown="false" showErrorMessage="true" showInputMessage="true" sqref="P4" type="none">
      <formula1>0</formula1>
      <formula2>0</formula2>
    </dataValidation>
    <dataValidation allowBlank="true" errorStyle="stop" operator="between" prompt="Automatically lifted from the headers. Do not put information other than units in parenthesis. Use notes instead. Headers and variable names need to match!!!" showDropDown="false" showErrorMessage="true" showInputMessage="true" sqref="A4" type="none">
      <formula1>0</formula1>
      <formula2>0</formula2>
    </dataValidation>
    <dataValidation allowBlank="true" errorStyle="stop" operator="between" prompt="If the variable has no units (either because it's a string or a ratio), write unitless." showDropDown="false" showErrorMessage="true" showInputMessage="true" sqref="C4" type="none">
      <formula1>0</formula1>
      <formula2>0</formula2>
    </dataValidation>
    <dataValidation allowBlank="true" errorStyle="stop" operator="between" prompt="Select the variable containing the depth values (if any)" promptTitle="Link to depth column" showDropDown="false" showErrorMessage="true" showInputMessage="true" sqref="F5:F20" type="list">
      <formula1>variableName</formula1>
      <formula2>0</formula2>
    </dataValidation>
    <dataValidation allowBlank="true" errorStyle="stop" operator="between" prompt="Select the measuredVariable from which the inferredVariable is inferredFrom" showDropDown="false" showErrorMessage="true" showInputMessage="true" sqref="G5:G20" type="list">
      <formula1>variableName</formula1>
      <formula2>0</formula2>
    </dataValidation>
    <dataValidation allowBlank="true" error="Thank you for contributing to the LinkedEarth Ontology!" errorStyle="stop" errorTitle="Scope Added" operator="between" prompt="Select a scope or enter a new one" showDropDown="false" showErrorMessage="true" showInputMessage="true" sqref="O5:O20" type="list">
      <formula1>interpScope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1048576"/>
  <sheetViews>
    <sheetView showFormulas="false" showGridLines="true" showRowColHeaders="true" showZeros="true" rightToLeft="false" tabSelected="true" showOutlineSymbols="true" defaultGridColor="true" view="normal" topLeftCell="A4" colorId="64" zoomScale="95" zoomScaleNormal="95" zoomScalePageLayoutView="100" workbookViewId="0">
      <selection pane="topLeft" activeCell="B39" activeCellId="0" sqref="B39"/>
    </sheetView>
  </sheetViews>
  <sheetFormatPr defaultColWidth="9.03125" defaultRowHeight="15" zeroHeight="false" outlineLevelRow="0" outlineLevelCol="0"/>
  <cols>
    <col collapsed="false" customWidth="true" hidden="false" outlineLevel="0" max="1" min="1" style="0" width="17.16"/>
    <col collapsed="false" customWidth="true" hidden="false" outlineLevel="0" max="2" min="2" style="0" width="16"/>
    <col collapsed="false" customWidth="true" hidden="false" outlineLevel="0" max="3" min="3" style="0" width="28.95"/>
    <col collapsed="false" customWidth="true" hidden="false" outlineLevel="0" max="4" min="4" style="0" width="19.99"/>
    <col collapsed="false" customWidth="true" hidden="false" outlineLevel="0" max="6" min="5" style="0" width="18.85"/>
    <col collapsed="false" customWidth="true" hidden="false" outlineLevel="0" max="8" min="7" style="0" width="21.66"/>
    <col collapsed="false" customWidth="true" hidden="false" outlineLevel="0" max="9" min="9" style="0" width="28.17"/>
    <col collapsed="false" customWidth="true" hidden="false" outlineLevel="0" max="10" min="10" style="0" width="25.16"/>
    <col collapsed="false" customWidth="true" hidden="false" outlineLevel="0" max="11" min="11" style="0" width="15.15"/>
    <col collapsed="false" customWidth="true" hidden="false" outlineLevel="0" max="13" min="12" style="0" width="12.51"/>
    <col collapsed="false" customWidth="true" hidden="false" outlineLevel="0" max="15" min="14" style="0" width="23.66"/>
    <col collapsed="false" customWidth="true" hidden="false" outlineLevel="0" max="16" min="16" style="0" width="25.52"/>
    <col collapsed="false" customWidth="true" hidden="false" outlineLevel="0" max="17" min="17" style="0" width="25.33"/>
    <col collapsed="false" customWidth="true" hidden="false" outlineLevel="0" max="18" min="18" style="0" width="18.85"/>
    <col collapsed="false" customWidth="true" hidden="false" outlineLevel="0" max="19" min="19" style="0" width="23.01"/>
    <col collapsed="false" customWidth="true" hidden="false" outlineLevel="0" max="20" min="20" style="0" width="26"/>
    <col collapsed="false" customWidth="true" hidden="false" outlineLevel="0" max="21" min="21" style="0" width="21.83"/>
    <col collapsed="false" customWidth="true" hidden="false" outlineLevel="0" max="22" min="22" style="0" width="24.49"/>
    <col collapsed="false" customWidth="true" hidden="false" outlineLevel="0" max="23" min="23" style="0" width="27"/>
    <col collapsed="false" customWidth="true" hidden="false" outlineLevel="0" max="24" min="24" style="0" width="26"/>
    <col collapsed="false" customWidth="true" hidden="false" outlineLevel="0" max="25" min="25" style="0" width="27"/>
    <col collapsed="false" customWidth="true" hidden="false" outlineLevel="0" max="26" min="26" style="0" width="21.5"/>
    <col collapsed="false" customWidth="true" hidden="false" outlineLevel="0" max="27" min="27" style="0" width="24.83"/>
  </cols>
  <sheetData>
    <row r="1" customFormat="false" ht="16" hidden="false" customHeight="false" outlineLevel="0" collapsed="false">
      <c r="A1" s="32" t="s">
        <v>203</v>
      </c>
      <c r="B1" s="33" t="s">
        <v>399</v>
      </c>
    </row>
    <row r="2" customFormat="false" ht="17" hidden="false" customHeight="false" outlineLevel="0" collapsed="false"/>
    <row r="3" customFormat="false" ht="17" hidden="false" customHeight="false" outlineLevel="0" collapsed="false">
      <c r="A3" s="34" t="s">
        <v>204</v>
      </c>
      <c r="B3" s="35" t="s">
        <v>400</v>
      </c>
    </row>
    <row r="4" customFormat="false" ht="17" hidden="false" customHeight="false" outlineLevel="0" collapsed="false">
      <c r="A4" s="36" t="s">
        <v>206</v>
      </c>
      <c r="B4" s="36" t="s">
        <v>207</v>
      </c>
      <c r="C4" s="37" t="s">
        <v>208</v>
      </c>
      <c r="D4" s="36" t="s">
        <v>209</v>
      </c>
      <c r="E4" s="36" t="s">
        <v>210</v>
      </c>
      <c r="F4" s="37" t="s">
        <v>211</v>
      </c>
      <c r="G4" s="37" t="s">
        <v>212</v>
      </c>
      <c r="H4" s="37" t="s">
        <v>213</v>
      </c>
      <c r="I4" s="38" t="s">
        <v>214</v>
      </c>
      <c r="J4" s="39" t="s">
        <v>215</v>
      </c>
      <c r="K4" s="40" t="s">
        <v>216</v>
      </c>
      <c r="L4" s="40" t="s">
        <v>217</v>
      </c>
      <c r="M4" s="40" t="s">
        <v>401</v>
      </c>
      <c r="N4" s="40" t="s">
        <v>219</v>
      </c>
      <c r="O4" s="40" t="s">
        <v>220</v>
      </c>
      <c r="P4" s="40" t="s">
        <v>402</v>
      </c>
      <c r="Q4" s="40" t="s">
        <v>222</v>
      </c>
      <c r="R4" s="40" t="s">
        <v>223</v>
      </c>
      <c r="S4" s="40" t="s">
        <v>224</v>
      </c>
      <c r="T4" s="40" t="s">
        <v>225</v>
      </c>
      <c r="U4" s="40" t="s">
        <v>226</v>
      </c>
      <c r="V4" s="40" t="s">
        <v>227</v>
      </c>
      <c r="W4" s="40" t="s">
        <v>228</v>
      </c>
      <c r="X4" s="40" t="s">
        <v>229</v>
      </c>
      <c r="Y4" s="40" t="s">
        <v>230</v>
      </c>
      <c r="Z4" s="40" t="s">
        <v>231</v>
      </c>
      <c r="AA4" s="40" t="s">
        <v>232</v>
      </c>
      <c r="AB4" s="40" t="s">
        <v>233</v>
      </c>
    </row>
    <row r="5" customFormat="false" ht="13.8" hidden="false" customHeight="false" outlineLevel="0" collapsed="false">
      <c r="A5" s="41" t="str">
        <f aca="false">A18</f>
        <v>labid</v>
      </c>
      <c r="B5" s="33" t="s">
        <v>234</v>
      </c>
      <c r="C5" s="0" t="s">
        <v>263</v>
      </c>
      <c r="D5" s="33"/>
      <c r="E5" s="33"/>
      <c r="N5" s="33"/>
      <c r="O5" s="33"/>
    </row>
    <row r="6" customFormat="false" ht="13.8" hidden="false" customHeight="false" outlineLevel="0" collapsed="false">
      <c r="A6" s="41" t="str">
        <f aca="false">B18</f>
        <v>age</v>
      </c>
      <c r="B6" s="33" t="s">
        <v>258</v>
      </c>
      <c r="C6" s="0" t="s">
        <v>403</v>
      </c>
      <c r="D6" s="33" t="s">
        <v>239</v>
      </c>
      <c r="E6" s="33" t="s">
        <v>242</v>
      </c>
      <c r="F6" s="0" t="s">
        <v>404</v>
      </c>
      <c r="I6" s="0" t="s">
        <v>242</v>
      </c>
      <c r="J6" s="0" t="s">
        <v>405</v>
      </c>
      <c r="K6" s="0" t="n">
        <v>1</v>
      </c>
      <c r="M6" s="0" t="s">
        <v>406</v>
      </c>
      <c r="N6" s="33" t="s">
        <v>237</v>
      </c>
      <c r="O6" s="33" t="s">
        <v>242</v>
      </c>
      <c r="V6" s="33"/>
      <c r="W6" s="33"/>
    </row>
    <row r="7" customFormat="false" ht="13.8" hidden="false" customHeight="false" outlineLevel="0" collapsed="false">
      <c r="A7" s="41" t="str">
        <f aca="false">C18</f>
        <v>ageuncertainty</v>
      </c>
      <c r="B7" s="33" t="s">
        <v>258</v>
      </c>
      <c r="C7" s="0" t="s">
        <v>403</v>
      </c>
      <c r="D7" s="33" t="s">
        <v>239</v>
      </c>
      <c r="E7" s="33" t="s">
        <v>242</v>
      </c>
      <c r="F7" s="0" t="s">
        <v>404</v>
      </c>
      <c r="I7" s="0" t="s">
        <v>242</v>
      </c>
      <c r="J7" s="0" t="s">
        <v>405</v>
      </c>
      <c r="K7" s="0" t="n">
        <v>1</v>
      </c>
      <c r="M7" s="0" t="s">
        <v>406</v>
      </c>
      <c r="N7" s="33" t="s">
        <v>237</v>
      </c>
      <c r="O7" s="33" t="s">
        <v>242</v>
      </c>
      <c r="V7" s="33"/>
      <c r="W7" s="33"/>
    </row>
    <row r="8" customFormat="false" ht="13.8" hidden="false" customHeight="false" outlineLevel="0" collapsed="false">
      <c r="A8" s="41" t="str">
        <f aca="false">D18</f>
        <v>depth</v>
      </c>
      <c r="B8" s="33" t="s">
        <v>234</v>
      </c>
      <c r="C8" s="0" t="s">
        <v>235</v>
      </c>
      <c r="D8" s="33" t="s">
        <v>404</v>
      </c>
      <c r="E8" s="33"/>
      <c r="K8" s="0" t="n">
        <v>1</v>
      </c>
      <c r="M8" s="0" t="s">
        <v>406</v>
      </c>
      <c r="N8" s="33" t="s">
        <v>237</v>
      </c>
      <c r="O8" s="33" t="s">
        <v>242</v>
      </c>
    </row>
    <row r="9" customFormat="false" ht="13.8" hidden="false" customHeight="false" outlineLevel="0" collapsed="false">
      <c r="A9" s="41" t="str">
        <f aca="false">E18</f>
        <v>age_type</v>
      </c>
      <c r="B9" s="33" t="s">
        <v>258</v>
      </c>
      <c r="C9" s="0" t="s">
        <v>263</v>
      </c>
      <c r="D9" s="33"/>
      <c r="E9" s="33"/>
      <c r="N9" s="33"/>
      <c r="O9" s="33"/>
    </row>
    <row r="10" customFormat="false" ht="13.8" hidden="false" customHeight="false" outlineLevel="0" collapsed="false">
      <c r="A10" s="41" t="str">
        <f aca="false">F18</f>
        <v>CoreName</v>
      </c>
      <c r="B10" s="33" t="s">
        <v>258</v>
      </c>
      <c r="C10" s="0" t="s">
        <v>263</v>
      </c>
      <c r="D10" s="33"/>
      <c r="E10" s="33"/>
      <c r="N10" s="33"/>
      <c r="O10" s="33"/>
    </row>
    <row r="11" customFormat="false" ht="13.8" hidden="false" customHeight="false" outlineLevel="0" collapsed="false">
      <c r="A11" s="41" t="str">
        <f aca="false">G18</f>
        <v>thickness</v>
      </c>
      <c r="B11" s="33" t="s">
        <v>258</v>
      </c>
      <c r="C11" s="0" t="s">
        <v>263</v>
      </c>
      <c r="D11" s="33"/>
      <c r="E11" s="33"/>
      <c r="N11" s="33"/>
      <c r="O11" s="33"/>
    </row>
    <row r="12" customFormat="false" ht="13.8" hidden="false" customHeight="false" outlineLevel="0" collapsed="false">
      <c r="A12" s="41" t="str">
        <f aca="false">H18</f>
        <v>dR</v>
      </c>
      <c r="B12" s="33" t="s">
        <v>258</v>
      </c>
      <c r="C12" s="0" t="s">
        <v>263</v>
      </c>
      <c r="D12" s="20" t="s">
        <v>239</v>
      </c>
      <c r="E12" s="20" t="s">
        <v>242</v>
      </c>
      <c r="F12" s="20" t="s">
        <v>404</v>
      </c>
      <c r="G12" s="17"/>
      <c r="H12" s="17"/>
      <c r="I12" s="17" t="s">
        <v>242</v>
      </c>
      <c r="J12" s="17" t="s">
        <v>405</v>
      </c>
      <c r="K12" s="17" t="n">
        <v>1</v>
      </c>
      <c r="L12" s="17"/>
      <c r="M12" s="20" t="s">
        <v>406</v>
      </c>
      <c r="N12" s="20" t="s">
        <v>237</v>
      </c>
      <c r="O12" s="20" t="s">
        <v>242</v>
      </c>
    </row>
    <row r="13" customFormat="false" ht="13.8" hidden="false" customHeight="false" outlineLevel="0" collapsed="false">
      <c r="A13" s="41" t="str">
        <f aca="false">I18</f>
        <v>dSTD</v>
      </c>
      <c r="B13" s="33" t="s">
        <v>258</v>
      </c>
      <c r="C13" s="0" t="s">
        <v>263</v>
      </c>
      <c r="D13" s="20" t="s">
        <v>239</v>
      </c>
      <c r="E13" s="20" t="s">
        <v>242</v>
      </c>
      <c r="F13" s="20" t="s">
        <v>404</v>
      </c>
      <c r="G13" s="17"/>
      <c r="H13" s="17"/>
      <c r="I13" s="17" t="s">
        <v>242</v>
      </c>
      <c r="J13" s="17" t="s">
        <v>405</v>
      </c>
      <c r="K13" s="17" t="n">
        <v>1</v>
      </c>
      <c r="L13" s="17"/>
      <c r="M13" s="20" t="s">
        <v>406</v>
      </c>
      <c r="N13" s="20" t="s">
        <v>237</v>
      </c>
      <c r="O13" s="20" t="s">
        <v>242</v>
      </c>
    </row>
    <row r="14" customFormat="false" ht="13.8" hidden="false" customHeight="false" outlineLevel="0" collapsed="false">
      <c r="A14" s="41"/>
      <c r="B14" s="33"/>
    </row>
    <row r="15" customFormat="false" ht="13.8" hidden="false" customHeight="false" outlineLevel="0" collapsed="false"/>
    <row r="16" customFormat="false" ht="17" hidden="false" customHeight="false" outlineLevel="0" collapsed="false">
      <c r="A16" s="34" t="s">
        <v>266</v>
      </c>
      <c r="B16" s="35" t="s">
        <v>267</v>
      </c>
    </row>
    <row r="17" customFormat="false" ht="17" hidden="false" customHeight="false" outlineLevel="0" collapsed="false">
      <c r="A17" s="43" t="s">
        <v>268</v>
      </c>
      <c r="B17" s="33" t="s">
        <v>269</v>
      </c>
      <c r="C17" s="35" t="s">
        <v>270</v>
      </c>
    </row>
    <row r="18" customFormat="false" ht="13.8" hidden="false" customHeight="false" outlineLevel="0" collapsed="false">
      <c r="A18" s="17" t="s">
        <v>407</v>
      </c>
      <c r="B18" s="17" t="s">
        <v>271</v>
      </c>
      <c r="C18" s="17" t="s">
        <v>408</v>
      </c>
      <c r="D18" s="0" t="s">
        <v>404</v>
      </c>
      <c r="E18" s="0" t="s">
        <v>409</v>
      </c>
      <c r="F18" s="0" t="s">
        <v>410</v>
      </c>
      <c r="G18" s="41" t="s">
        <v>411</v>
      </c>
      <c r="H18" s="0" t="s">
        <v>412</v>
      </c>
      <c r="I18" s="0" t="s">
        <v>413</v>
      </c>
      <c r="K18" s="41"/>
      <c r="L18" s="41"/>
      <c r="M18" s="41"/>
      <c r="N18" s="41"/>
    </row>
    <row r="19" customFormat="false" ht="13.8" hidden="false" customHeight="false" outlineLevel="0" collapsed="false">
      <c r="A19" s="0" t="s">
        <v>414</v>
      </c>
      <c r="B19" s="0" t="n">
        <v>5345</v>
      </c>
      <c r="C19" s="0" t="n">
        <v>28</v>
      </c>
      <c r="D19" s="0" t="n">
        <v>38</v>
      </c>
      <c r="E19" s="0" t="s">
        <v>415</v>
      </c>
      <c r="F19" s="0" t="s">
        <v>416</v>
      </c>
      <c r="G19" s="0" t="n">
        <v>1</v>
      </c>
      <c r="H19" s="0" t="n">
        <v>0</v>
      </c>
      <c r="I19" s="0" t="n">
        <v>0</v>
      </c>
    </row>
    <row r="20" customFormat="false" ht="13.8" hidden="false" customHeight="false" outlineLevel="0" collapsed="false">
      <c r="A20" s="0" t="s">
        <v>417</v>
      </c>
      <c r="B20" s="0" t="n">
        <v>5806</v>
      </c>
      <c r="C20" s="0" t="n">
        <v>33</v>
      </c>
      <c r="D20" s="0" t="n">
        <v>44</v>
      </c>
      <c r="E20" s="0" t="s">
        <v>415</v>
      </c>
      <c r="F20" s="33" t="s">
        <v>416</v>
      </c>
      <c r="G20" s="0" t="n">
        <v>1</v>
      </c>
      <c r="H20" s="0" t="n">
        <v>0</v>
      </c>
      <c r="I20" s="0" t="n">
        <v>0</v>
      </c>
    </row>
    <row r="21" customFormat="false" ht="13.8" hidden="false" customHeight="false" outlineLevel="0" collapsed="false">
      <c r="A21" s="0" t="s">
        <v>418</v>
      </c>
      <c r="B21" s="0" t="n">
        <v>7259</v>
      </c>
      <c r="C21" s="0" t="n">
        <v>32</v>
      </c>
      <c r="D21" s="0" t="n">
        <v>67</v>
      </c>
      <c r="E21" s="0" t="s">
        <v>415</v>
      </c>
      <c r="F21" s="33" t="s">
        <v>416</v>
      </c>
      <c r="G21" s="0" t="n">
        <v>1</v>
      </c>
      <c r="H21" s="0" t="n">
        <v>0</v>
      </c>
      <c r="I21" s="0" t="n">
        <v>0</v>
      </c>
    </row>
    <row r="22" customFormat="false" ht="13.8" hidden="false" customHeight="false" outlineLevel="0" collapsed="false">
      <c r="A22" s="0" t="s">
        <v>419</v>
      </c>
      <c r="B22" s="0" t="n">
        <v>8657</v>
      </c>
      <c r="C22" s="0" t="n">
        <v>45</v>
      </c>
      <c r="D22" s="0" t="n">
        <v>106</v>
      </c>
      <c r="E22" s="0" t="s">
        <v>415</v>
      </c>
      <c r="F22" s="33" t="s">
        <v>416</v>
      </c>
      <c r="G22" s="0" t="n">
        <v>1</v>
      </c>
      <c r="H22" s="0" t="n">
        <v>0</v>
      </c>
      <c r="I22" s="0" t="n">
        <v>0</v>
      </c>
    </row>
    <row r="23" customFormat="false" ht="13.8" hidden="false" customHeight="false" outlineLevel="0" collapsed="false">
      <c r="A23" s="0" t="s">
        <v>420</v>
      </c>
      <c r="B23" s="41" t="n">
        <v>9736</v>
      </c>
      <c r="C23" s="41" t="n">
        <v>35</v>
      </c>
      <c r="D23" s="0" t="n">
        <v>150</v>
      </c>
      <c r="E23" s="0" t="s">
        <v>415</v>
      </c>
      <c r="F23" s="33" t="s">
        <v>416</v>
      </c>
      <c r="G23" s="0" t="n">
        <v>1</v>
      </c>
      <c r="H23" s="0" t="n">
        <v>0</v>
      </c>
      <c r="I23" s="0" t="n">
        <v>0</v>
      </c>
    </row>
    <row r="24" customFormat="false" ht="13.8" hidden="false" customHeight="false" outlineLevel="0" collapsed="false">
      <c r="A24" s="0" t="s">
        <v>421</v>
      </c>
      <c r="B24" s="41" t="n">
        <v>10211</v>
      </c>
      <c r="C24" s="41" t="n">
        <v>63</v>
      </c>
      <c r="D24" s="0" t="n">
        <v>161</v>
      </c>
      <c r="E24" s="0" t="s">
        <v>415</v>
      </c>
      <c r="F24" s="33" t="s">
        <v>416</v>
      </c>
      <c r="G24" s="0" t="n">
        <v>1</v>
      </c>
      <c r="H24" s="0" t="n">
        <v>0</v>
      </c>
      <c r="I24" s="0" t="n">
        <v>0</v>
      </c>
    </row>
    <row r="25" customFormat="false" ht="13.8" hidden="false" customHeight="false" outlineLevel="0" collapsed="false">
      <c r="A25" s="0" t="s">
        <v>422</v>
      </c>
      <c r="B25" s="41" t="n">
        <v>10936</v>
      </c>
      <c r="C25" s="41" t="n">
        <v>41</v>
      </c>
      <c r="D25" s="0" t="n">
        <v>162</v>
      </c>
      <c r="E25" s="0" t="s">
        <v>415</v>
      </c>
      <c r="F25" s="33" t="s">
        <v>416</v>
      </c>
      <c r="G25" s="0" t="n">
        <v>1</v>
      </c>
      <c r="H25" s="0" t="n">
        <v>0</v>
      </c>
      <c r="I25" s="0" t="n">
        <v>0</v>
      </c>
    </row>
    <row r="26" customFormat="false" ht="13.8" hidden="false" customHeight="false" outlineLevel="0" collapsed="false">
      <c r="A26" s="0" t="s">
        <v>423</v>
      </c>
      <c r="B26" s="41" t="n">
        <v>10747</v>
      </c>
      <c r="C26" s="41" t="n">
        <v>49</v>
      </c>
      <c r="D26" s="0" t="n">
        <v>162</v>
      </c>
      <c r="E26" s="0" t="s">
        <v>415</v>
      </c>
      <c r="F26" s="33" t="s">
        <v>416</v>
      </c>
      <c r="G26" s="0" t="n">
        <v>1</v>
      </c>
      <c r="H26" s="0" t="n">
        <v>0</v>
      </c>
      <c r="I26" s="0" t="n">
        <v>0</v>
      </c>
    </row>
    <row r="27" customFormat="false" ht="13.8" hidden="false" customHeight="false" outlineLevel="0" collapsed="false">
      <c r="A27" s="0" t="s">
        <v>424</v>
      </c>
      <c r="B27" s="41" t="n">
        <v>10590</v>
      </c>
      <c r="C27" s="41" t="n">
        <v>39</v>
      </c>
      <c r="D27" s="0" t="n">
        <v>168</v>
      </c>
      <c r="E27" s="0" t="s">
        <v>415</v>
      </c>
      <c r="F27" s="33" t="s">
        <v>416</v>
      </c>
      <c r="G27" s="0" t="n">
        <v>1</v>
      </c>
      <c r="H27" s="0" t="n">
        <v>0</v>
      </c>
      <c r="I27" s="0" t="n">
        <v>0</v>
      </c>
    </row>
    <row r="28" customFormat="false" ht="13.8" hidden="false" customHeight="false" outlineLevel="0" collapsed="false">
      <c r="A28" s="0" t="s">
        <v>425</v>
      </c>
      <c r="B28" s="41" t="n">
        <v>11117</v>
      </c>
      <c r="C28" s="41" t="n">
        <v>51</v>
      </c>
      <c r="D28" s="0" t="n">
        <v>199</v>
      </c>
      <c r="E28" s="0" t="s">
        <v>415</v>
      </c>
      <c r="F28" s="33" t="s">
        <v>416</v>
      </c>
      <c r="G28" s="0" t="n">
        <v>1</v>
      </c>
      <c r="H28" s="0" t="n">
        <v>0</v>
      </c>
      <c r="I28" s="0" t="n">
        <v>0</v>
      </c>
    </row>
    <row r="29" customFormat="false" ht="13.8" hidden="false" customHeight="false" outlineLevel="0" collapsed="false">
      <c r="A29" s="0" t="s">
        <v>426</v>
      </c>
      <c r="B29" s="41" t="n">
        <v>9977</v>
      </c>
      <c r="C29" s="41" t="n">
        <v>45</v>
      </c>
      <c r="D29" s="0" t="n">
        <v>223</v>
      </c>
      <c r="E29" s="0" t="s">
        <v>415</v>
      </c>
      <c r="F29" s="33" t="s">
        <v>416</v>
      </c>
      <c r="G29" s="0" t="n">
        <v>1</v>
      </c>
      <c r="H29" s="0" t="n">
        <v>0</v>
      </c>
      <c r="I29" s="0" t="n">
        <v>0</v>
      </c>
    </row>
    <row r="30" customFormat="false" ht="13.8" hidden="false" customHeight="false" outlineLevel="0" collapsed="false">
      <c r="A30" s="0" t="s">
        <v>427</v>
      </c>
      <c r="B30" s="41" t="n">
        <v>17353</v>
      </c>
      <c r="C30" s="41" t="n">
        <v>84</v>
      </c>
      <c r="D30" s="0" t="n">
        <v>254</v>
      </c>
      <c r="E30" s="0" t="s">
        <v>415</v>
      </c>
      <c r="F30" s="33" t="s">
        <v>416</v>
      </c>
      <c r="G30" s="0" t="n">
        <v>1</v>
      </c>
      <c r="H30" s="0" t="n">
        <v>0</v>
      </c>
      <c r="I30" s="0" t="n">
        <v>0</v>
      </c>
    </row>
    <row r="31" customFormat="false" ht="13.8" hidden="false" customHeight="false" outlineLevel="0" collapsed="false">
      <c r="A31" s="0" t="s">
        <v>428</v>
      </c>
      <c r="B31" s="41" t="n">
        <v>16558</v>
      </c>
      <c r="C31" s="41" t="n">
        <v>69</v>
      </c>
      <c r="D31" s="0" t="n">
        <v>266</v>
      </c>
      <c r="E31" s="0" t="s">
        <v>415</v>
      </c>
      <c r="F31" s="33" t="s">
        <v>416</v>
      </c>
      <c r="G31" s="0" t="n">
        <v>1</v>
      </c>
      <c r="H31" s="0" t="n">
        <v>0</v>
      </c>
      <c r="I31" s="0" t="n">
        <v>0</v>
      </c>
    </row>
    <row r="32" customFormat="false" ht="15" hidden="false" customHeight="false" outlineLevel="0" collapsed="false">
      <c r="B32" s="41"/>
      <c r="C32" s="41"/>
      <c r="D32" s="41"/>
    </row>
    <row r="33" customFormat="false" ht="15" hidden="false" customHeight="false" outlineLevel="0" collapsed="false">
      <c r="B33" s="41"/>
      <c r="C33" s="41"/>
      <c r="D33" s="41"/>
    </row>
    <row r="34" customFormat="false" ht="15" hidden="false" customHeight="false" outlineLevel="0" collapsed="false">
      <c r="B34" s="41"/>
      <c r="C34" s="41"/>
      <c r="D34" s="41"/>
    </row>
    <row r="35" customFormat="false" ht="15" hidden="false" customHeight="false" outlineLevel="0" collapsed="false">
      <c r="B35" s="41"/>
      <c r="C35" s="41"/>
      <c r="D35" s="41"/>
    </row>
    <row r="36" customFormat="false" ht="15" hidden="false" customHeight="false" outlineLevel="0" collapsed="false">
      <c r="B36" s="41"/>
      <c r="C36" s="41"/>
      <c r="D36" s="41"/>
    </row>
    <row r="37" customFormat="false" ht="15" hidden="false" customHeight="false" outlineLevel="0" collapsed="false">
      <c r="B37" s="41"/>
      <c r="C37" s="41"/>
      <c r="D37" s="41"/>
    </row>
    <row r="38" customFormat="false" ht="15" hidden="false" customHeight="false" outlineLevel="0" collapsed="false">
      <c r="B38" s="41"/>
      <c r="C38" s="41"/>
      <c r="D38" s="41"/>
    </row>
    <row r="39" customFormat="false" ht="15" hidden="false" customHeight="false" outlineLevel="0" collapsed="false">
      <c r="B39" s="41"/>
      <c r="C39" s="41"/>
      <c r="D39" s="41"/>
    </row>
    <row r="40" customFormat="false" ht="15" hidden="false" customHeight="false" outlineLevel="0" collapsed="false">
      <c r="B40" s="41"/>
      <c r="C40" s="41"/>
      <c r="D40" s="41"/>
    </row>
    <row r="41" customFormat="false" ht="15" hidden="false" customHeight="false" outlineLevel="0" collapsed="false">
      <c r="B41" s="41"/>
      <c r="C41" s="41"/>
      <c r="D41" s="41"/>
    </row>
    <row r="42" customFormat="false" ht="15" hidden="false" customHeight="false" outlineLevel="0" collapsed="false">
      <c r="B42" s="41"/>
      <c r="C42" s="41"/>
      <c r="D42" s="41"/>
    </row>
    <row r="43" customFormat="false" ht="15" hidden="false" customHeight="false" outlineLevel="0" collapsed="false">
      <c r="B43" s="41"/>
      <c r="C43" s="41"/>
      <c r="D43" s="41"/>
    </row>
    <row r="44" customFormat="false" ht="15" hidden="false" customHeight="false" outlineLevel="0" collapsed="false">
      <c r="B44" s="41"/>
      <c r="C44" s="41"/>
      <c r="D44" s="41"/>
    </row>
    <row r="45" customFormat="false" ht="15" hidden="false" customHeight="false" outlineLevel="0" collapsed="false">
      <c r="B45" s="41"/>
      <c r="C45" s="41"/>
      <c r="D45" s="41"/>
    </row>
    <row r="46" customFormat="false" ht="15" hidden="false" customHeight="false" outlineLevel="0" collapsed="false">
      <c r="B46" s="41"/>
      <c r="C46" s="41"/>
      <c r="D46" s="41"/>
    </row>
    <row r="47" customFormat="false" ht="15" hidden="false" customHeight="false" outlineLevel="0" collapsed="false">
      <c r="B47" s="41"/>
      <c r="C47" s="41"/>
      <c r="D47" s="41"/>
    </row>
    <row r="48" customFormat="false" ht="15" hidden="false" customHeight="false" outlineLevel="0" collapsed="false">
      <c r="B48" s="41"/>
      <c r="C48" s="41"/>
      <c r="D48" s="41"/>
    </row>
    <row r="49" customFormat="false" ht="15" hidden="false" customHeight="false" outlineLevel="0" collapsed="false">
      <c r="B49" s="41"/>
      <c r="C49" s="41"/>
      <c r="D49" s="41"/>
    </row>
    <row r="50" customFormat="false" ht="15" hidden="false" customHeight="false" outlineLevel="0" collapsed="false">
      <c r="B50" s="41"/>
      <c r="C50" s="41"/>
      <c r="D50" s="41"/>
    </row>
    <row r="51" customFormat="false" ht="15" hidden="false" customHeight="false" outlineLevel="0" collapsed="false">
      <c r="B51" s="41"/>
      <c r="C51" s="41"/>
      <c r="D51" s="41"/>
    </row>
    <row r="52" customFormat="false" ht="15" hidden="false" customHeight="false" outlineLevel="0" collapsed="false">
      <c r="B52" s="41"/>
      <c r="C52" s="41"/>
      <c r="D52" s="41"/>
    </row>
    <row r="53" customFormat="false" ht="15" hidden="false" customHeight="false" outlineLevel="0" collapsed="false">
      <c r="B53" s="41"/>
      <c r="C53" s="41"/>
      <c r="D53" s="41"/>
    </row>
    <row r="54" customFormat="false" ht="15" hidden="false" customHeight="false" outlineLevel="0" collapsed="false">
      <c r="B54" s="41"/>
      <c r="C54" s="41"/>
      <c r="D54" s="41"/>
    </row>
    <row r="55" customFormat="false" ht="15" hidden="false" customHeight="false" outlineLevel="0" collapsed="false">
      <c r="B55" s="41"/>
      <c r="C55" s="41"/>
      <c r="D55" s="41"/>
    </row>
    <row r="56" customFormat="false" ht="15" hidden="false" customHeight="false" outlineLevel="0" collapsed="false">
      <c r="B56" s="41"/>
      <c r="C56" s="41"/>
      <c r="D56" s="41"/>
    </row>
    <row r="57" customFormat="false" ht="15" hidden="false" customHeight="false" outlineLevel="0" collapsed="false">
      <c r="B57" s="41"/>
      <c r="C57" s="41"/>
      <c r="D57" s="41"/>
    </row>
    <row r="58" customFormat="false" ht="15" hidden="false" customHeight="false" outlineLevel="0" collapsed="false">
      <c r="B58" s="41"/>
      <c r="C58" s="41"/>
      <c r="D58" s="41"/>
    </row>
    <row r="59" customFormat="false" ht="15" hidden="false" customHeight="false" outlineLevel="0" collapsed="false">
      <c r="B59" s="41"/>
      <c r="C59" s="41"/>
      <c r="D59" s="41"/>
    </row>
    <row r="60" customFormat="false" ht="15" hidden="false" customHeight="false" outlineLevel="0" collapsed="false">
      <c r="B60" s="41"/>
      <c r="C60" s="41"/>
      <c r="D60" s="41"/>
    </row>
    <row r="61" customFormat="false" ht="15" hidden="false" customHeight="false" outlineLevel="0" collapsed="false">
      <c r="B61" s="41"/>
      <c r="C61" s="41"/>
      <c r="D61" s="41"/>
    </row>
    <row r="62" customFormat="false" ht="15" hidden="false" customHeight="false" outlineLevel="0" collapsed="false">
      <c r="B62" s="41"/>
      <c r="C62" s="41"/>
      <c r="D62" s="41"/>
    </row>
    <row r="63" customFormat="false" ht="15" hidden="false" customHeight="false" outlineLevel="0" collapsed="false">
      <c r="B63" s="41"/>
      <c r="C63" s="41"/>
      <c r="D63" s="41"/>
    </row>
    <row r="64" customFormat="false" ht="15" hidden="false" customHeight="false" outlineLevel="0" collapsed="false">
      <c r="B64" s="41"/>
      <c r="C64" s="41"/>
      <c r="D64" s="41"/>
    </row>
    <row r="65" customFormat="false" ht="15" hidden="false" customHeight="false" outlineLevel="0" collapsed="false">
      <c r="B65" s="41"/>
      <c r="C65" s="41"/>
      <c r="D65" s="41"/>
    </row>
    <row r="66" customFormat="false" ht="15" hidden="false" customHeight="false" outlineLevel="0" collapsed="false">
      <c r="B66" s="41"/>
      <c r="C66" s="41"/>
      <c r="D66" s="41"/>
    </row>
    <row r="67" customFormat="false" ht="15" hidden="false" customHeight="false" outlineLevel="0" collapsed="false">
      <c r="B67" s="41"/>
      <c r="C67" s="41"/>
      <c r="D67" s="41"/>
    </row>
    <row r="68" customFormat="false" ht="15" hidden="false" customHeight="false" outlineLevel="0" collapsed="false">
      <c r="B68" s="41"/>
      <c r="C68" s="41"/>
      <c r="D68" s="41"/>
    </row>
    <row r="69" customFormat="false" ht="15" hidden="false" customHeight="false" outlineLevel="0" collapsed="false">
      <c r="B69" s="41"/>
      <c r="C69" s="41"/>
      <c r="D69" s="41"/>
    </row>
    <row r="70" customFormat="false" ht="15" hidden="false" customHeight="false" outlineLevel="0" collapsed="false">
      <c r="B70" s="41"/>
      <c r="C70" s="41"/>
      <c r="D70" s="41"/>
    </row>
    <row r="71" customFormat="false" ht="15" hidden="false" customHeight="false" outlineLevel="0" collapsed="false">
      <c r="B71" s="41"/>
      <c r="C71" s="41"/>
      <c r="D71" s="41"/>
    </row>
    <row r="72" customFormat="false" ht="15" hidden="false" customHeight="false" outlineLevel="0" collapsed="false">
      <c r="B72" s="41"/>
      <c r="C72" s="41"/>
      <c r="D72" s="41"/>
    </row>
    <row r="73" customFormat="false" ht="15" hidden="false" customHeight="false" outlineLevel="0" collapsed="false">
      <c r="B73" s="41"/>
      <c r="C73" s="41"/>
      <c r="D73" s="41"/>
    </row>
    <row r="74" customFormat="false" ht="15" hidden="false" customHeight="false" outlineLevel="0" collapsed="false">
      <c r="B74" s="41"/>
      <c r="C74" s="41"/>
      <c r="D74" s="41"/>
    </row>
    <row r="75" customFormat="false" ht="15" hidden="false" customHeight="false" outlineLevel="0" collapsed="false">
      <c r="B75" s="41"/>
      <c r="C75" s="41"/>
      <c r="D75" s="41"/>
    </row>
    <row r="76" customFormat="false" ht="15" hidden="false" customHeight="false" outlineLevel="0" collapsed="false">
      <c r="B76" s="41"/>
      <c r="C76" s="41"/>
      <c r="D76" s="41"/>
    </row>
    <row r="77" customFormat="false" ht="15" hidden="false" customHeight="false" outlineLevel="0" collapsed="false">
      <c r="B77" s="41"/>
      <c r="C77" s="41"/>
      <c r="D77" s="41"/>
    </row>
    <row r="78" customFormat="false" ht="15" hidden="false" customHeight="false" outlineLevel="0" collapsed="false">
      <c r="B78" s="41"/>
      <c r="C78" s="41"/>
      <c r="D78" s="41"/>
    </row>
    <row r="79" customFormat="false" ht="15" hidden="false" customHeight="false" outlineLevel="0" collapsed="false">
      <c r="B79" s="41"/>
      <c r="C79" s="41"/>
      <c r="D79" s="41"/>
    </row>
    <row r="80" customFormat="false" ht="15" hidden="false" customHeight="false" outlineLevel="0" collapsed="false">
      <c r="B80" s="41"/>
      <c r="C80" s="41"/>
      <c r="D80" s="41"/>
    </row>
    <row r="81" customFormat="false" ht="15" hidden="false" customHeight="false" outlineLevel="0" collapsed="false">
      <c r="B81" s="41"/>
      <c r="C81" s="41"/>
      <c r="D81" s="41"/>
    </row>
    <row r="82" customFormat="false" ht="15" hidden="false" customHeight="false" outlineLevel="0" collapsed="false">
      <c r="B82" s="41"/>
      <c r="C82" s="41"/>
      <c r="D82" s="41"/>
    </row>
    <row r="83" customFormat="false" ht="15" hidden="false" customHeight="false" outlineLevel="0" collapsed="false">
      <c r="B83" s="41"/>
      <c r="C83" s="41"/>
      <c r="D83" s="41"/>
    </row>
    <row r="84" customFormat="false" ht="15" hidden="false" customHeight="false" outlineLevel="0" collapsed="false">
      <c r="B84" s="41"/>
      <c r="C84" s="41"/>
      <c r="D84" s="41"/>
    </row>
    <row r="85" customFormat="false" ht="15" hidden="false" customHeight="false" outlineLevel="0" collapsed="false">
      <c r="B85" s="41"/>
      <c r="C85" s="41"/>
      <c r="D85" s="41"/>
    </row>
    <row r="86" customFormat="false" ht="15" hidden="false" customHeight="false" outlineLevel="0" collapsed="false">
      <c r="B86" s="41"/>
      <c r="C86" s="41"/>
      <c r="D86" s="41"/>
    </row>
    <row r="87" customFormat="false" ht="15" hidden="false" customHeight="false" outlineLevel="0" collapsed="false">
      <c r="B87" s="41"/>
      <c r="C87" s="41"/>
      <c r="D87" s="41"/>
    </row>
    <row r="88" customFormat="false" ht="15" hidden="false" customHeight="false" outlineLevel="0" collapsed="false">
      <c r="B88" s="41"/>
      <c r="C88" s="41"/>
      <c r="D88" s="41"/>
    </row>
    <row r="89" customFormat="false" ht="15" hidden="false" customHeight="false" outlineLevel="0" collapsed="false">
      <c r="B89" s="41"/>
      <c r="C89" s="41"/>
      <c r="D89" s="41"/>
    </row>
    <row r="90" customFormat="false" ht="15" hidden="false" customHeight="false" outlineLevel="0" collapsed="false">
      <c r="B90" s="41"/>
      <c r="C90" s="41"/>
      <c r="D90" s="41"/>
    </row>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dataValidations count="33">
    <dataValidation allowBlank="true" error="Pick either measured or inferred" errorStyle="stop" errorTitle="VariableType Error" operator="between" prompt="Choose either measured or inferred." promptTitle="variableType" showDropDown="false" showErrorMessage="true" showInputMessage="true" sqref="B5:B14" type="list">
      <formula1>variableType</formula1>
      <formula2>0</formula2>
    </dataValidation>
    <dataValidation allowBlank="true" error="New term added to the LinkedEarth Ontology" errorStyle="stop" errorTitle="New term added" operator="between" prompt="Select (or enter if not available) the type of proxy observation. " promptTitle="Proxy Observation" showDropDown="false" showErrorMessage="true" showInputMessage="true" sqref="D5:D13" type="list">
      <formula1>ProxyObservation</formula1>
      <formula2>0</formula2>
    </dataValidation>
    <dataValidation allowBlank="true" error="New term added to the LinkedEarth Ontology " errorStyle="stop" errorTitle="New term added" operator="between" prompt="Select (or enter if not available) the type of inferred information" promptTitle="Inferred Variable" showDropDown="false" showErrorMessage="true" showInputMessage="true" sqref="E5:E13" type="list">
      <formula1>InferredVariable</formula1>
      <formula2>0</formula2>
    </dataValidation>
    <dataValidation allowBlank="true" errorStyle="stop" operator="between" prompt="Is the Variable measured or inferred?" promptTitle="variableType" showDropDown="false" showErrorMessage="true" showInputMessage="true" sqref="B4" type="none">
      <formula1>0</formula1>
      <formula2>0</formula2>
    </dataValidation>
    <dataValidation allowBlank="true" errorStyle="stop" operator="between" prompt="What type are the measuredVariables? (Leave blank for inferredVariables and use InferredVariableType instead).&#10;For instance, if the columns contain values for Mg/Ca measurements, the type is Mg/Ca. Use the list or add your own. Leave blank for depth." promptTitle="ProxyObservationType" showDropDown="false" showErrorMessage="true" showInputMessage="true" sqref="D4" type="none">
      <formula1>0</formula1>
      <formula2>0</formula2>
    </dataValidation>
    <dataValidation allowBlank="true" errorStyle="stop" operator="between" prompt="What type are the inferredVariables? (Leave blank for measuredVariables and use ProxyObservationType instead). For instance, if the columns contain values for sea surface temperature, the type is SST. Use the list or add your own." promptTitle="InferredVariableType" showDropDown="false" showErrorMessage="true" showInputMessage="true" sqref="E4" type="none">
      <formula1>0</formula1>
      <formula2>0</formula2>
    </dataValidation>
    <dataValidation allowBlank="true" errorStyle="stop" operator="between" prompt="Point toward the depth column in the dataset. Leave blank if no depth information or if the variable represents depth" showDropDown="false" showErrorMessage="true" showInputMessage="true" sqref="F4" type="none">
      <formula1>0</formula1>
      <formula2>0</formula2>
    </dataValidation>
    <dataValidation allowBlank="true" errorStyle="stop" operator="between" prompt="From which measuredVariable is the inferredVariable inferred from? Choose one on this spreadsheet. You can add other variables on the wiki after you upload your dataset. " showDropDown="false" showErrorMessage="true" showInputMessage="true" sqref="G4" type="none">
      <formula1>0</formula1>
      <formula2>0</formula2>
    </dataValidation>
    <dataValidation allowBlank="true" errorStyle="stop" operator="between" prompt="How is the variable interpreted (not necessarily calibrated)? Refers to the name of the variable. Mg/Ca is interpreted as temperature. SST is also interpreted as temperature. If more than one interpretation, add columns (interpretation2_variable)" showDropDown="false" showErrorMessage="true" showInputMessage="true" sqref="I4" type="none">
      <formula1>0</formula1>
      <formula2>0</formula2>
    </dataValidation>
    <dataValidation allowBlank="true" errorStyle="stop" operator="between" prompt="Gives detail about the variable. For instance, &quot;sea surface&quot; for sea surface temperature" showDropDown="false" showErrorMessage="true" showInputMessage="true" sqref="J4" type="none">
      <formula1>0</formula1>
      <formula2>0</formula2>
    </dataValidation>
    <dataValidation allowBlank="true" errorStyle="stop" operator="between" prompt="What's the importance of the interpretation? For instance, temperature has rank 1 for Mg/Ca" showDropDown="false" showErrorMessage="true" showInputMessage="true" sqref="K4" type="none">
      <formula1>0</formula1>
      <formula2>0</formula2>
    </dataValidation>
    <dataValidation allowBlank="true" errorStyle="stop" operator="between" prompt="A relevant quote from the literature that forms the basis of the interpretation." showDropDown="false" showErrorMessage="true" showInputMessage="true" sqref="L4" type="none">
      <formula1>0</formula1>
      <formula2>0</formula2>
    </dataValidation>
    <dataValidation allowBlank="true" errorStyle="stop" operator="between" prompt="Is the influence on the Variable local or far-field?" showDropDown="false" showErrorMessage="true" showInputMessage="true" sqref="M4" type="none">
      <formula1>0</formula1>
      <formula2>0</formula2>
    </dataValidation>
    <dataValidation allowBlank="true" errorStyle="stop" operator="between" prompt="Is the influence local or far-field?" showDropDown="false" showErrorMessage="true" showInputMessage="true" sqref="M5:M8 M12:M13" type="list">
      <formula1>isLocal</formula1>
      <formula2>0</formula2>
    </dataValidation>
    <dataValidation allowBlank="true" errorStyle="stop" operator="between" prompt="Part of the interpretation metadata that describes whether the interpreted environmental variable increases (positive) or decreases (negative) as the paleodata variable increases" showDropDown="false" showErrorMessage="true" showInputMessage="true" sqref="N4" type="none">
      <formula1>0</formula1>
      <formula2>0</formula2>
    </dataValidation>
    <dataValidation allowBlank="true" errorStyle="stop" operator="between" showDropDown="false" showErrorMessage="true" showInputMessage="true" sqref="N5:N13" type="list">
      <formula1>interpDirection</formula1>
      <formula2>0</formula2>
    </dataValidation>
    <dataValidation allowBlank="true" errorStyle="stop" operator="between" prompt="Calibration equation used if any. " showDropDown="false" showErrorMessage="true" showInputMessage="true" sqref="Q4" type="none">
      <formula1>0</formula1>
      <formula2>0</formula2>
    </dataValidation>
    <dataValidation allowBlank="true" errorStyle="stop" operator="between" prompt="Notes about the calibration equation" showDropDown="false" showErrorMessage="true" showInputMessage="true" sqref="R4" type="none">
      <formula1>0</formula1>
      <formula2>0</formula2>
    </dataValidation>
    <dataValidation allowBlank="true" errorStyle="stop" operator="between" prompt="DOI of the publication containing the calibration" showDropDown="false" showErrorMessage="true" showInputMessage="true" sqref="S4" type="none">
      <formula1>0</formula1>
      <formula2>0</formula2>
    </dataValidation>
    <dataValidation allowBlank="true" errorStyle="stop" operator="between" prompt="Uncertainty on the inferred variable " showDropDown="false" showErrorMessage="true" showInputMessage="true" sqref="T4" type="none">
      <formula1>0</formula1>
      <formula2>0</formula2>
    </dataValidation>
    <dataValidation allowBlank="true" errorStyle="stop" operator="between" prompt="The type of uncertainty (e.g., calibration RMSE)" showDropDown="false" showErrorMessage="true" showInputMessage="true" sqref="U4" type="none">
      <formula1>0</formula1>
      <formula2>0</formula2>
    </dataValidation>
    <dataValidation allowBlank="true" errorStyle="stop" operator="between" prompt="Part of the interpretation metadata that describes whether the interpretation relates to climate (e.g., temperature), isotopes (e.g., d18O of precipitation), ecology..." showDropDown="false" showErrorMessage="true" showInputMessage="true" sqref="O4" type="none">
      <formula1>0</formula1>
      <formula2>0</formula2>
    </dataValidation>
    <dataValidation allowBlank="true" errorStyle="stop" operator="between" prompt="The location (i.e., laboratory, repository) where the archive is currently located" showDropDown="false" showErrorMessage="true" showInputMessage="true" sqref="AA4" type="none">
      <formula1>0</formula1>
      <formula2>0</formula2>
    </dataValidation>
    <dataValidation allowBlank="true" errorStyle="stop" operator="between" prompt="Link to the IGSN number if registered with the IGSN database&#10;" showDropDown="false" showErrorMessage="true" showInputMessage="true" sqref="Z4" type="none">
      <formula1>0</formula1>
      <formula2>0</formula2>
    </dataValidation>
    <dataValidation allowBlank="true" errorStyle="stop" operator="between" prompt="Unique identifier given to the archive (can be the number in the repository, a bar code, or a DOI)" showDropDown="false" showErrorMessage="true" showInputMessage="true" sqref="Y4" type="none">
      <formula1>0</formula1>
      <formula2>0</formula2>
    </dataValidation>
    <dataValidation allowBlank="true" errorStyle="stop" operator="between" prompt="Common name of the archive. For instance, IODP989" showDropDown="false" showErrorMessage="true" showInputMessage="true" sqref="X4" type="none">
      <formula1>0</formula1>
      <formula2>0</formula2>
    </dataValidation>
    <dataValidation allowBlank="true" errorStyle="stop" operator="between" prompt="How was the sample collected (e.g. piston core, gravity core...)?" showDropDown="false" showErrorMessage="true" showInputMessage="true" sqref="AB4" type="none">
      <formula1>0</formula1>
      <formula2>0</formula2>
    </dataValidation>
    <dataValidation allowBlank="true" errorStyle="stop" operator="between" prompt="Which part of the seasonal cycle is being represented?" showDropDown="false" showErrorMessage="true" showInputMessage="true" sqref="P4" type="none">
      <formula1>0</formula1>
      <formula2>0</formula2>
    </dataValidation>
    <dataValidation allowBlank="true" errorStyle="stop" operator="between" prompt="Automatically lifted from the headers. Do not put information other than units in parenthesis. Use notes instead. Headers and variable names need to match!!!" showDropDown="false" showErrorMessage="true" showInputMessage="true" sqref="A4" type="none">
      <formula1>0</formula1>
      <formula2>0</formula2>
    </dataValidation>
    <dataValidation allowBlank="true" errorStyle="stop" operator="between" prompt="If the variable has no units (either because it's a string or a ratio), write unitless." showDropDown="false" showErrorMessage="true" showInputMessage="true" sqref="C4" type="none">
      <formula1>0</formula1>
      <formula2>0</formula2>
    </dataValidation>
    <dataValidation allowBlank="true" errorStyle="stop" operator="between" prompt="Select the variable containing the depth values (if any)" promptTitle="Link to depth column" showDropDown="false" showErrorMessage="true" showInputMessage="true" sqref="F5:F8 F12:F13" type="list">
      <formula1>ChronVariableName</formula1>
      <formula2>0</formula2>
    </dataValidation>
    <dataValidation allowBlank="true" errorStyle="stop" operator="between" prompt="Select the measuredVariable from which the inferredVariable is inferredFrom" showDropDown="false" showErrorMessage="true" showInputMessage="true" sqref="G5:G13" type="list">
      <formula1>ChronVariableName</formula1>
      <formula2>0</formula2>
    </dataValidation>
    <dataValidation allowBlank="true" error="Thank you for contributing to the LinkedEarth Ontology." errorStyle="stop" errorTitle="Scope added" operator="between" prompt="Select a scope or enter a new one" showDropDown="false" showErrorMessage="true" showInputMessage="true" sqref="O5:O13" type="list">
      <formula1>interpScope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4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J29" activeCellId="0" sqref="J29"/>
    </sheetView>
  </sheetViews>
  <sheetFormatPr defaultColWidth="10.94140625" defaultRowHeight="15" zeroHeight="false" outlineLevelRow="0" outlineLevelCol="0"/>
  <cols>
    <col collapsed="false" customWidth="true" hidden="false" outlineLevel="0" max="1" min="1" style="0" width="17"/>
  </cols>
  <sheetData>
    <row r="1" customFormat="false" ht="15" hidden="false" customHeight="false" outlineLevel="0" collapsed="false">
      <c r="A1" s="0" t="s">
        <v>429</v>
      </c>
      <c r="B1" s="0" t="s">
        <v>234</v>
      </c>
      <c r="C1" s="0" t="s">
        <v>430</v>
      </c>
      <c r="D1" s="0" t="s">
        <v>431</v>
      </c>
      <c r="E1" s="0" t="s">
        <v>246</v>
      </c>
      <c r="F1" s="0" t="s">
        <v>432</v>
      </c>
      <c r="G1" s="0" t="s">
        <v>237</v>
      </c>
      <c r="H1" s="0" t="s">
        <v>254</v>
      </c>
    </row>
    <row r="2" customFormat="false" ht="15" hidden="false" customHeight="false" outlineLevel="0" collapsed="false">
      <c r="A2" s="0" t="s">
        <v>433</v>
      </c>
      <c r="B2" s="0" t="s">
        <v>258</v>
      </c>
      <c r="C2" s="0" t="s">
        <v>434</v>
      </c>
      <c r="D2" s="0" t="s">
        <v>435</v>
      </c>
      <c r="E2" s="0" t="s">
        <v>436</v>
      </c>
      <c r="F2" s="0" t="s">
        <v>406</v>
      </c>
      <c r="G2" s="0" t="s">
        <v>437</v>
      </c>
      <c r="H2" s="0" t="s">
        <v>248</v>
      </c>
    </row>
    <row r="3" customFormat="false" ht="15" hidden="false" customHeight="false" outlineLevel="0" collapsed="false">
      <c r="A3" s="0" t="s">
        <v>438</v>
      </c>
      <c r="C3" s="0" t="s">
        <v>439</v>
      </c>
      <c r="D3" s="0" t="s">
        <v>440</v>
      </c>
      <c r="E3" s="0" t="s">
        <v>441</v>
      </c>
      <c r="H3" s="0" t="s">
        <v>265</v>
      </c>
    </row>
    <row r="4" customFormat="false" ht="15" hidden="false" customHeight="false" outlineLevel="0" collapsed="false">
      <c r="A4" s="0" t="s">
        <v>442</v>
      </c>
      <c r="C4" s="0" t="s">
        <v>443</v>
      </c>
      <c r="D4" s="0" t="s">
        <v>444</v>
      </c>
      <c r="E4" s="0" t="s">
        <v>445</v>
      </c>
      <c r="H4" s="0" t="s">
        <v>242</v>
      </c>
    </row>
    <row r="5" customFormat="false" ht="15" hidden="false" customHeight="false" outlineLevel="0" collapsed="false">
      <c r="A5" s="0" t="s">
        <v>145</v>
      </c>
      <c r="C5" s="0" t="s">
        <v>251</v>
      </c>
      <c r="D5" s="0" t="s">
        <v>446</v>
      </c>
      <c r="E5" s="0" t="s">
        <v>447</v>
      </c>
    </row>
    <row r="6" customFormat="false" ht="15" hidden="false" customHeight="false" outlineLevel="0" collapsed="false">
      <c r="A6" s="0" t="s">
        <v>448</v>
      </c>
      <c r="C6" s="0" t="s">
        <v>449</v>
      </c>
      <c r="D6" s="0" t="s">
        <v>450</v>
      </c>
      <c r="E6" s="0" t="s">
        <v>256</v>
      </c>
    </row>
    <row r="7" customFormat="false" ht="15" hidden="false" customHeight="false" outlineLevel="0" collapsed="false">
      <c r="A7" s="0" t="s">
        <v>451</v>
      </c>
      <c r="C7" s="0" t="s">
        <v>452</v>
      </c>
      <c r="D7" s="0" t="s">
        <v>453</v>
      </c>
      <c r="E7" s="0" t="s">
        <v>260</v>
      </c>
    </row>
    <row r="8" customFormat="false" ht="15" hidden="false" customHeight="false" outlineLevel="0" collapsed="false">
      <c r="A8" s="0" t="s">
        <v>454</v>
      </c>
      <c r="C8" s="0" t="s">
        <v>455</v>
      </c>
      <c r="D8" s="0" t="s">
        <v>456</v>
      </c>
      <c r="E8" s="0" t="s">
        <v>457</v>
      </c>
    </row>
    <row r="9" customFormat="false" ht="15" hidden="false" customHeight="false" outlineLevel="0" collapsed="false">
      <c r="A9" s="0" t="s">
        <v>458</v>
      </c>
      <c r="C9" s="0" t="s">
        <v>245</v>
      </c>
      <c r="D9" s="0" t="s">
        <v>459</v>
      </c>
      <c r="E9" s="0" t="s">
        <v>460</v>
      </c>
    </row>
    <row r="10" customFormat="false" ht="15" hidden="false" customHeight="false" outlineLevel="0" collapsed="false">
      <c r="A10" s="0" t="s">
        <v>461</v>
      </c>
      <c r="C10" s="0" t="s">
        <v>462</v>
      </c>
      <c r="D10" s="0" t="s">
        <v>463</v>
      </c>
      <c r="E10" s="0" t="s">
        <v>464</v>
      </c>
    </row>
    <row r="11" customFormat="false" ht="15" hidden="false" customHeight="false" outlineLevel="0" collapsed="false">
      <c r="A11" s="0" t="s">
        <v>465</v>
      </c>
      <c r="C11" s="0" t="s">
        <v>466</v>
      </c>
      <c r="D11" s="0" t="s">
        <v>467</v>
      </c>
      <c r="E11" s="0" t="s">
        <v>252</v>
      </c>
    </row>
    <row r="12" customFormat="false" ht="15" hidden="false" customHeight="false" outlineLevel="0" collapsed="false">
      <c r="A12" s="0" t="s">
        <v>468</v>
      </c>
      <c r="C12" s="0" t="s">
        <v>249</v>
      </c>
      <c r="D12" s="0" t="s">
        <v>469</v>
      </c>
      <c r="E12" s="0" t="s">
        <v>470</v>
      </c>
    </row>
    <row r="13" customFormat="false" ht="15" hidden="false" customHeight="false" outlineLevel="0" collapsed="false">
      <c r="C13" s="0" t="s">
        <v>471</v>
      </c>
      <c r="D13" s="0" t="s">
        <v>472</v>
      </c>
      <c r="E13" s="0" t="s">
        <v>253</v>
      </c>
    </row>
    <row r="14" customFormat="false" ht="15" hidden="false" customHeight="false" outlineLevel="0" collapsed="false">
      <c r="C14" s="0" t="s">
        <v>473</v>
      </c>
      <c r="D14" s="0" t="s">
        <v>474</v>
      </c>
      <c r="E14" s="0" t="s">
        <v>471</v>
      </c>
    </row>
    <row r="15" customFormat="false" ht="15" hidden="false" customHeight="false" outlineLevel="0" collapsed="false">
      <c r="C15" s="0" t="s">
        <v>475</v>
      </c>
      <c r="D15" s="0" t="s">
        <v>476</v>
      </c>
      <c r="E15" s="0" t="s">
        <v>249</v>
      </c>
    </row>
    <row r="16" customFormat="false" ht="15" hidden="false" customHeight="false" outlineLevel="0" collapsed="false">
      <c r="C16" s="0" t="s">
        <v>477</v>
      </c>
      <c r="D16" s="0" t="s">
        <v>478</v>
      </c>
      <c r="E16" s="0" t="s">
        <v>479</v>
      </c>
    </row>
    <row r="17" customFormat="false" ht="15" hidden="false" customHeight="false" outlineLevel="0" collapsed="false">
      <c r="C17" s="0" t="s">
        <v>480</v>
      </c>
      <c r="E17" s="0" t="s">
        <v>481</v>
      </c>
    </row>
    <row r="18" customFormat="false" ht="15" hidden="false" customHeight="false" outlineLevel="0" collapsed="false">
      <c r="C18" s="0" t="s">
        <v>482</v>
      </c>
      <c r="E18" s="0" t="s">
        <v>249</v>
      </c>
    </row>
    <row r="19" customFormat="false" ht="15" hidden="false" customHeight="false" outlineLevel="0" collapsed="false">
      <c r="C19" s="0" t="s">
        <v>259</v>
      </c>
      <c r="E19" s="0" t="s">
        <v>471</v>
      </c>
    </row>
    <row r="20" customFormat="false" ht="15" hidden="false" customHeight="false" outlineLevel="0" collapsed="false">
      <c r="C20" s="0" t="s">
        <v>483</v>
      </c>
      <c r="E20" s="0" t="s">
        <v>479</v>
      </c>
    </row>
    <row r="21" customFormat="false" ht="15" hidden="false" customHeight="false" outlineLevel="0" collapsed="false">
      <c r="C21" s="0" t="s">
        <v>484</v>
      </c>
      <c r="E21" s="0" t="s">
        <v>485</v>
      </c>
    </row>
    <row r="22" customFormat="false" ht="15" hidden="false" customHeight="false" outlineLevel="0" collapsed="false">
      <c r="C22" s="0" t="s">
        <v>486</v>
      </c>
      <c r="E22" s="0" t="s">
        <v>487</v>
      </c>
    </row>
    <row r="23" customFormat="false" ht="15" hidden="false" customHeight="false" outlineLevel="0" collapsed="false">
      <c r="C23" s="0" t="s">
        <v>488</v>
      </c>
      <c r="E23" s="0" t="s">
        <v>158</v>
      </c>
    </row>
    <row r="24" customFormat="false" ht="15" hidden="false" customHeight="false" outlineLevel="0" collapsed="false">
      <c r="C24" s="0" t="s">
        <v>489</v>
      </c>
      <c r="E24" s="0" t="s">
        <v>490</v>
      </c>
    </row>
    <row r="25" customFormat="false" ht="15" hidden="false" customHeight="false" outlineLevel="0" collapsed="false">
      <c r="C25" s="0" t="s">
        <v>491</v>
      </c>
      <c r="E25" s="0" t="s">
        <v>242</v>
      </c>
    </row>
    <row r="26" customFormat="false" ht="15" hidden="false" customHeight="false" outlineLevel="0" collapsed="false">
      <c r="C26" s="0" t="s">
        <v>492</v>
      </c>
      <c r="E26" s="0" t="s">
        <v>240</v>
      </c>
    </row>
    <row r="27" customFormat="false" ht="15" hidden="false" customHeight="false" outlineLevel="0" collapsed="false">
      <c r="C27" s="0" t="s">
        <v>493</v>
      </c>
      <c r="E27" s="0" t="s">
        <v>494</v>
      </c>
    </row>
    <row r="28" customFormat="false" ht="15" hidden="false" customHeight="false" outlineLevel="0" collapsed="false">
      <c r="C28" s="0" t="s">
        <v>495</v>
      </c>
      <c r="E28" s="0" t="s">
        <v>496</v>
      </c>
    </row>
    <row r="29" customFormat="false" ht="15" hidden="false" customHeight="false" outlineLevel="0" collapsed="false">
      <c r="C29" s="0" t="s">
        <v>497</v>
      </c>
      <c r="E29" s="0" t="s">
        <v>498</v>
      </c>
    </row>
    <row r="30" customFormat="false" ht="15" hidden="false" customHeight="false" outlineLevel="0" collapsed="false">
      <c r="C30" s="0" t="s">
        <v>499</v>
      </c>
      <c r="E30" s="0" t="s">
        <v>500</v>
      </c>
    </row>
    <row r="31" customFormat="false" ht="15" hidden="false" customHeight="false" outlineLevel="0" collapsed="false">
      <c r="C31" s="0" t="s">
        <v>501</v>
      </c>
      <c r="E31" s="0" t="s">
        <v>502</v>
      </c>
    </row>
    <row r="32" customFormat="false" ht="15" hidden="false" customHeight="false" outlineLevel="0" collapsed="false">
      <c r="C32" s="0" t="s">
        <v>503</v>
      </c>
      <c r="E32" s="0" t="s">
        <v>504</v>
      </c>
    </row>
    <row r="33" customFormat="false" ht="15" hidden="false" customHeight="false" outlineLevel="0" collapsed="false">
      <c r="C33" s="0" t="s">
        <v>255</v>
      </c>
      <c r="E33" s="0" t="s">
        <v>505</v>
      </c>
    </row>
    <row r="34" customFormat="false" ht="15" hidden="false" customHeight="false" outlineLevel="0" collapsed="false">
      <c r="C34" s="0" t="s">
        <v>506</v>
      </c>
      <c r="E34" s="0" t="s">
        <v>507</v>
      </c>
    </row>
    <row r="35" customFormat="false" ht="15" hidden="false" customHeight="false" outlineLevel="0" collapsed="false">
      <c r="C35" s="0" t="s">
        <v>508</v>
      </c>
      <c r="E35" s="0" t="s">
        <v>509</v>
      </c>
    </row>
    <row r="36" customFormat="false" ht="15" hidden="false" customHeight="false" outlineLevel="0" collapsed="false">
      <c r="C36" s="0" t="s">
        <v>510</v>
      </c>
      <c r="E36" s="0" t="s">
        <v>511</v>
      </c>
    </row>
    <row r="37" customFormat="false" ht="15" hidden="false" customHeight="false" outlineLevel="0" collapsed="false">
      <c r="C37" s="0" t="s">
        <v>239</v>
      </c>
      <c r="E37" s="0" t="s">
        <v>512</v>
      </c>
    </row>
    <row r="38" customFormat="false" ht="15" hidden="false" customHeight="false" outlineLevel="0" collapsed="false">
      <c r="C38" s="0" t="s">
        <v>513</v>
      </c>
      <c r="E38" s="0" t="s">
        <v>514</v>
      </c>
    </row>
    <row r="39" customFormat="false" ht="15" hidden="false" customHeight="false" outlineLevel="0" collapsed="false">
      <c r="C39" s="0" t="s">
        <v>515</v>
      </c>
    </row>
    <row r="40" customFormat="false" ht="15" hidden="false" customHeight="false" outlineLevel="0" collapsed="false">
      <c r="C40" s="0" t="s">
        <v>516</v>
      </c>
    </row>
    <row r="41" customFormat="false" ht="15" hidden="false" customHeight="false" outlineLevel="0" collapsed="false">
      <c r="C41" s="0" t="s">
        <v>517</v>
      </c>
    </row>
    <row r="42" customFormat="false" ht="15" hidden="false" customHeight="false" outlineLevel="0" collapsed="false">
      <c r="C42" s="0" t="s">
        <v>518</v>
      </c>
    </row>
    <row r="43" customFormat="false" ht="15" hidden="false" customHeight="false" outlineLevel="0" collapsed="false">
      <c r="C43" s="0" t="s">
        <v>519</v>
      </c>
    </row>
    <row r="44" customFormat="false" ht="15" hidden="false" customHeight="false" outlineLevel="0" collapsed="false">
      <c r="C44" s="0" t="s">
        <v>520</v>
      </c>
    </row>
    <row r="45" customFormat="false" ht="15" hidden="false" customHeight="false" outlineLevel="0" collapsed="false">
      <c r="C45" s="0" t="s">
        <v>521</v>
      </c>
    </row>
    <row r="46" customFormat="false" ht="15" hidden="false" customHeight="false" outlineLevel="0" collapsed="false">
      <c r="C46" s="0" t="s">
        <v>522</v>
      </c>
    </row>
    <row r="47" customFormat="false" ht="15" hidden="false" customHeight="false" outlineLevel="0" collapsed="false">
      <c r="C47" s="0" t="s">
        <v>523</v>
      </c>
    </row>
    <row r="48" customFormat="false" ht="15" hidden="false" customHeight="false" outlineLevel="0" collapsed="false">
      <c r="C48" s="0" t="s">
        <v>524</v>
      </c>
    </row>
    <row r="49" customFormat="false" ht="15" hidden="false" customHeight="false" outlineLevel="0" collapsed="false">
      <c r="C49" s="0" t="s">
        <v>525</v>
      </c>
    </row>
  </sheetData>
  <sheetProtection sheet="true" password="9878" objects="true" scenarios="true" selectLockedCells="true" selectUnlockedCell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1071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2013-05-10T20:41:09Z</dcterms:created>
  <dc:creator>Edward Gille</dc:creator>
  <dc:description/>
  <dc:language>es-ES</dc:language>
  <cp:lastModifiedBy/>
  <dcterms:modified xsi:type="dcterms:W3CDTF">2024-12-17T19:21:21Z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file>