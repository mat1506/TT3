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bsolute values" sheetId="1" state="visible" r:id="rId2"/>
    <sheet name="Concentration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<sst xmlns="http://schemas.openxmlformats.org/spreadsheetml/2006/main" count="218" uniqueCount="80">
  <si>
    <t xml:space="preserve">Toca leer</t>
  </si>
  <si>
    <t xml:space="preserve">Izquerda</t>
  </si>
  <si>
    <t xml:space="preserve">Derecha</t>
  </si>
  <si>
    <t xml:space="preserve">Montar</t>
  </si>
  <si>
    <t xml:space="preserve">cm</t>
  </si>
  <si>
    <t xml:space="preserve">38-39</t>
  </si>
  <si>
    <t xml:space="preserve">43-44</t>
  </si>
  <si>
    <t xml:space="preserve">47-48</t>
  </si>
  <si>
    <t xml:space="preserve">51-52</t>
  </si>
  <si>
    <t xml:space="preserve">54-55</t>
  </si>
  <si>
    <t xml:space="preserve">58-59</t>
  </si>
  <si>
    <t xml:space="preserve">62-63</t>
  </si>
  <si>
    <t xml:space="preserve">70-71</t>
  </si>
  <si>
    <t xml:space="preserve">78-79</t>
  </si>
  <si>
    <t xml:space="preserve">86-87</t>
  </si>
  <si>
    <t xml:space="preserve">94-95</t>
  </si>
  <si>
    <t xml:space="preserve">103-104</t>
  </si>
  <si>
    <t xml:space="preserve">110-111</t>
  </si>
  <si>
    <t xml:space="preserve">118-119</t>
  </si>
  <si>
    <t xml:space="preserve">126-127</t>
  </si>
  <si>
    <t xml:space="preserve">134-135</t>
  </si>
  <si>
    <t xml:space="preserve">142-143</t>
  </si>
  <si>
    <t xml:space="preserve">150-151</t>
  </si>
  <si>
    <t xml:space="preserve">158-159</t>
  </si>
  <si>
    <t xml:space="preserve">166-167</t>
  </si>
  <si>
    <t xml:space="preserve">174-175</t>
  </si>
  <si>
    <t xml:space="preserve">182-183</t>
  </si>
  <si>
    <t xml:space="preserve">190-191</t>
  </si>
  <si>
    <t xml:space="preserve">198-199</t>
  </si>
  <si>
    <t xml:space="preserve">206-207</t>
  </si>
  <si>
    <t xml:space="preserve">214-215</t>
  </si>
  <si>
    <t xml:space="preserve">222-223</t>
  </si>
  <si>
    <t xml:space="preserve">230-231</t>
  </si>
  <si>
    <t xml:space="preserve">238-239</t>
  </si>
  <si>
    <t xml:space="preserve">246-247</t>
  </si>
  <si>
    <t xml:space="preserve">254-255</t>
  </si>
  <si>
    <t xml:space="preserve">262-263</t>
  </si>
  <si>
    <t xml:space="preserve">Taxon</t>
  </si>
  <si>
    <t xml:space="preserve">Cyperaceae</t>
  </si>
  <si>
    <t xml:space="preserve">Juncaceae</t>
  </si>
  <si>
    <t xml:space="preserve">Typha</t>
  </si>
  <si>
    <t xml:space="preserve">Potamogeton</t>
  </si>
  <si>
    <t xml:space="preserve">Lemna</t>
  </si>
  <si>
    <t xml:space="preserve">Nuphar</t>
  </si>
  <si>
    <t xml:space="preserve">Butomus umbellatus</t>
  </si>
  <si>
    <t xml:space="preserve">Spora monolete</t>
  </si>
  <si>
    <t xml:space="preserve">cf. Ophioglossum/Osmunda</t>
  </si>
  <si>
    <t xml:space="preserve">Pteris</t>
  </si>
  <si>
    <t xml:space="preserve">3</t>
  </si>
  <si>
    <t xml:space="preserve">1</t>
  </si>
  <si>
    <t xml:space="preserve">2</t>
  </si>
  <si>
    <t xml:space="preserve">4</t>
  </si>
  <si>
    <t xml:space="preserve">7</t>
  </si>
  <si>
    <t xml:space="preserve">5</t>
  </si>
  <si>
    <t xml:space="preserve">13</t>
  </si>
  <si>
    <t xml:space="preserve">Other pterophyta</t>
  </si>
  <si>
    <t xml:space="preserve">Type 128</t>
  </si>
  <si>
    <t xml:space="preserve">Botryococcus</t>
  </si>
  <si>
    <t xml:space="preserve">Zygnema</t>
  </si>
  <si>
    <t xml:space="preserve">Spirogyra</t>
  </si>
  <si>
    <t xml:space="preserve">Mougeotia</t>
  </si>
  <si>
    <t xml:space="preserve">Pediastrum</t>
  </si>
  <si>
    <t xml:space="preserve">Glomus</t>
  </si>
  <si>
    <t xml:space="preserve">Pseudoshizaea</t>
  </si>
  <si>
    <t xml:space="preserve">Sporormiella</t>
  </si>
  <si>
    <t xml:space="preserve">Coniochaeta</t>
  </si>
  <si>
    <t xml:space="preserve">Chaetomium</t>
  </si>
  <si>
    <t xml:space="preserve">Lycopodium </t>
  </si>
  <si>
    <t xml:space="preserve">Sediment gr</t>
  </si>
  <si>
    <t xml:space="preserve">Concentración Typha</t>
  </si>
  <si>
    <t xml:space="preserve">Concentración Pteris</t>
  </si>
  <si>
    <t xml:space="preserve">Concentración Botryococcus</t>
  </si>
  <si>
    <t xml:space="preserve">Concentración Spyrogyra</t>
  </si>
  <si>
    <t xml:space="preserve">Ophioglossum/Osmunda</t>
  </si>
  <si>
    <t xml:space="preserve">id</t>
  </si>
  <si>
    <t xml:space="preserve">depth</t>
  </si>
  <si>
    <t xml:space="preserve">min</t>
  </si>
  <si>
    <t xml:space="preserve">max</t>
  </si>
  <si>
    <t xml:space="preserve">median</t>
  </si>
  <si>
    <t xml:space="preserve">mean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</si>
</sst>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0.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9CCCC"/>
        <bgColor rgb="FF00CCFF"/>
      </patternFill>
    </fill>
    <fill>
      <patternFill patternType="solid">
        <fgColor rgb="FFFFCC99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3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10.9765625" defaultRowHeight="15" zeroHeight="false" outlineLevelRow="0" outlineLevelCol="0"/>
  <cols>
    <col collapsed="false" customWidth="true" hidden="false" outlineLevel="0" max="1" min="1" style="1" width="41.28"/>
    <col collapsed="false" customWidth="true" hidden="false" outlineLevel="0" max="7" min="2" style="1" width="11.99"/>
    <col collapsed="false" customWidth="true" hidden="false" outlineLevel="0" max="15" min="12" style="1" width="13.57"/>
    <col collapsed="false" customWidth="true" hidden="false" outlineLevel="0" max="16" min="16" style="1" width="15.57"/>
    <col collapsed="false" customWidth="true" hidden="false" outlineLevel="0" max="27" min="17" style="1" width="13.57"/>
    <col collapsed="false" customWidth="true" hidden="false" outlineLevel="0" max="29" min="29" style="1" width="12.42"/>
  </cols>
  <sheetData>
    <row r="1" customFormat="false" ht="15" hidden="false" customHeight="false" outlineLevel="0" collapsed="false">
      <c r="A1" s="2" t="s">
        <v>0</v>
      </c>
      <c r="B1" s="3"/>
      <c r="C1" s="3"/>
      <c r="D1" s="3" t="s">
        <v>1</v>
      </c>
      <c r="E1" s="3"/>
      <c r="F1" s="3" t="s">
        <v>2</v>
      </c>
      <c r="G1" s="3" t="s">
        <v>2</v>
      </c>
      <c r="H1" s="3" t="s">
        <v>1</v>
      </c>
      <c r="I1" s="4"/>
      <c r="J1" s="4"/>
      <c r="K1" s="5"/>
      <c r="L1" s="5"/>
      <c r="M1" s="5"/>
      <c r="N1" s="5"/>
      <c r="O1" s="3" t="s">
        <v>1</v>
      </c>
      <c r="P1" s="5"/>
      <c r="Q1" s="5"/>
      <c r="R1" s="5"/>
      <c r="S1" s="3" t="s">
        <v>3</v>
      </c>
      <c r="T1" s="3" t="s">
        <v>2</v>
      </c>
      <c r="U1" s="3" t="s">
        <v>2</v>
      </c>
      <c r="V1" s="3" t="s">
        <v>2</v>
      </c>
      <c r="W1" s="3" t="s">
        <v>1</v>
      </c>
      <c r="X1" s="3" t="s">
        <v>1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3" t="s">
        <v>2</v>
      </c>
      <c r="AF1" s="3"/>
      <c r="AG1" s="3"/>
    </row>
    <row r="2" s="7" customFormat="true" ht="15" hidden="false" customHeight="false" outlineLevel="0" collapsed="false">
      <c r="A2" s="2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</row>
    <row r="3" customFormat="false" ht="15" hidden="false" customHeight="false" outlineLevel="0" collapsed="false">
      <c r="A3" s="8" t="s">
        <v>37</v>
      </c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/>
      <c r="AU3" s="11"/>
      <c r="AV3" s="11"/>
      <c r="AW3" s="11"/>
      <c r="AX3" s="11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</row>
    <row r="4" customFormat="false" ht="15" hidden="false" customHeight="false" outlineLevel="0" collapsed="false">
      <c r="A4" s="13"/>
      <c r="B4" s="14"/>
      <c r="C4" s="14"/>
      <c r="D4" s="14"/>
      <c r="E4" s="14"/>
      <c r="F4" s="14"/>
      <c r="G4" s="1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6"/>
      <c r="AU4" s="16"/>
      <c r="AV4" s="16"/>
      <c r="AW4" s="16"/>
      <c r="AX4" s="16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</row>
    <row r="5" s="1" customFormat="true" ht="15" hidden="false" customHeight="false" outlineLevel="0" collapsed="false">
      <c r="A5" s="17" t="s">
        <v>38</v>
      </c>
      <c r="B5" s="18" t="n">
        <v>14</v>
      </c>
      <c r="C5" s="18" t="n">
        <v>13</v>
      </c>
      <c r="D5" s="18" t="n">
        <v>8</v>
      </c>
      <c r="E5" s="18" t="n">
        <v>13</v>
      </c>
      <c r="F5" s="18" t="n">
        <v>14</v>
      </c>
      <c r="G5" s="18" t="n">
        <v>7</v>
      </c>
      <c r="H5" s="19" t="n">
        <v>5</v>
      </c>
      <c r="I5" s="19" t="n">
        <v>2</v>
      </c>
      <c r="J5" s="19"/>
      <c r="K5" s="19"/>
      <c r="L5" s="19" t="n">
        <v>1</v>
      </c>
      <c r="M5" s="19"/>
      <c r="N5" s="19" t="n">
        <v>2</v>
      </c>
      <c r="O5" s="19"/>
      <c r="P5" s="19"/>
      <c r="Q5" s="19"/>
      <c r="R5" s="19"/>
      <c r="S5" s="19"/>
      <c r="T5" s="19"/>
      <c r="U5" s="19" t="n">
        <v>1</v>
      </c>
      <c r="V5" s="19"/>
      <c r="W5" s="19"/>
      <c r="X5" s="19"/>
      <c r="Y5" s="19" t="n">
        <v>1</v>
      </c>
      <c r="Z5" s="19" t="n">
        <v>1</v>
      </c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20"/>
      <c r="AU5" s="20"/>
      <c r="AV5" s="20"/>
      <c r="AW5" s="20"/>
      <c r="AX5" s="20"/>
    </row>
    <row r="6" s="1" customFormat="true" ht="15" hidden="false" customHeight="false" outlineLevel="0" collapsed="false">
      <c r="A6" s="17" t="s">
        <v>39</v>
      </c>
      <c r="B6" s="18" t="n">
        <v>5</v>
      </c>
      <c r="C6" s="18" t="n">
        <v>2</v>
      </c>
      <c r="D6" s="18" t="n">
        <v>3</v>
      </c>
      <c r="E6" s="18" t="n">
        <v>1</v>
      </c>
      <c r="F6" s="18"/>
      <c r="G6" s="18" t="n">
        <v>1</v>
      </c>
      <c r="H6" s="19"/>
      <c r="I6" s="19" t="n">
        <v>2</v>
      </c>
      <c r="J6" s="19"/>
      <c r="K6" s="19"/>
      <c r="L6" s="19" t="n">
        <v>1</v>
      </c>
      <c r="M6" s="19"/>
      <c r="N6" s="19"/>
      <c r="O6" s="19"/>
      <c r="P6" s="19" t="n">
        <v>1</v>
      </c>
      <c r="Q6" s="19"/>
      <c r="R6" s="19"/>
      <c r="S6" s="19"/>
      <c r="T6" s="19" t="n">
        <v>1</v>
      </c>
      <c r="U6" s="19"/>
      <c r="V6" s="19"/>
      <c r="W6" s="19"/>
      <c r="X6" s="19"/>
      <c r="Y6" s="19" t="n">
        <v>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20"/>
      <c r="AU6" s="20"/>
      <c r="AV6" s="20"/>
      <c r="AW6" s="20"/>
      <c r="AX6" s="20"/>
    </row>
    <row r="7" s="1" customFormat="true" ht="15" hidden="false" customHeight="false" outlineLevel="0" collapsed="false">
      <c r="A7" s="17" t="s">
        <v>40</v>
      </c>
      <c r="B7" s="18" t="n">
        <v>44</v>
      </c>
      <c r="C7" s="18" t="n">
        <v>34</v>
      </c>
      <c r="D7" s="18" t="n">
        <v>46</v>
      </c>
      <c r="E7" s="18" t="n">
        <v>39</v>
      </c>
      <c r="F7" s="18" t="n">
        <v>34</v>
      </c>
      <c r="G7" s="18" t="n">
        <v>56</v>
      </c>
      <c r="H7" s="19" t="n">
        <v>13</v>
      </c>
      <c r="I7" s="19" t="n">
        <v>17</v>
      </c>
      <c r="J7" s="19" t="n">
        <v>7</v>
      </c>
      <c r="K7" s="19" t="n">
        <v>11</v>
      </c>
      <c r="L7" s="19" t="n">
        <v>7</v>
      </c>
      <c r="M7" s="19" t="n">
        <v>3</v>
      </c>
      <c r="N7" s="19" t="n">
        <v>3</v>
      </c>
      <c r="O7" s="19" t="n">
        <v>3</v>
      </c>
      <c r="P7" s="19" t="n">
        <v>3</v>
      </c>
      <c r="Q7" s="19"/>
      <c r="R7" s="19"/>
      <c r="S7" s="19" t="n">
        <v>1</v>
      </c>
      <c r="T7" s="19" t="n">
        <v>2</v>
      </c>
      <c r="U7" s="19" t="n">
        <v>3</v>
      </c>
      <c r="V7" s="19" t="n">
        <v>3</v>
      </c>
      <c r="W7" s="19" t="n">
        <v>2</v>
      </c>
      <c r="X7" s="19"/>
      <c r="Y7" s="19" t="n">
        <v>3</v>
      </c>
      <c r="Z7" s="19" t="n">
        <v>2</v>
      </c>
      <c r="AA7" s="19" t="n">
        <v>5</v>
      </c>
      <c r="AB7" s="19" t="n">
        <v>5</v>
      </c>
      <c r="AC7" s="19" t="n">
        <v>2</v>
      </c>
      <c r="AD7" s="19"/>
      <c r="AE7" s="19"/>
      <c r="AF7" s="19"/>
      <c r="AG7" s="19" t="n">
        <v>2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20"/>
      <c r="AU7" s="20"/>
      <c r="AV7" s="20"/>
      <c r="AW7" s="20"/>
      <c r="AX7" s="20"/>
    </row>
    <row r="8" s="1" customFormat="true" ht="15" hidden="false" customHeight="false" outlineLevel="0" collapsed="false">
      <c r="A8" s="17" t="s">
        <v>41</v>
      </c>
      <c r="B8" s="18" t="n">
        <v>1</v>
      </c>
      <c r="C8" s="18" t="n">
        <v>1</v>
      </c>
      <c r="D8" s="18"/>
      <c r="E8" s="18" t="n">
        <v>1</v>
      </c>
      <c r="F8" s="18" t="n">
        <v>1</v>
      </c>
      <c r="G8" s="18" t="n">
        <v>1</v>
      </c>
      <c r="H8" s="21" t="n">
        <v>2</v>
      </c>
      <c r="I8" s="21"/>
      <c r="J8" s="21"/>
      <c r="K8" s="21"/>
      <c r="L8" s="21"/>
      <c r="M8" s="21"/>
      <c r="N8" s="21"/>
      <c r="O8" s="21"/>
      <c r="P8" s="21"/>
      <c r="Q8" s="21" t="n">
        <v>1</v>
      </c>
      <c r="R8" s="21"/>
      <c r="S8" s="21"/>
      <c r="T8" s="21" t="n">
        <v>1</v>
      </c>
      <c r="U8" s="21"/>
      <c r="V8" s="21"/>
      <c r="W8" s="21"/>
      <c r="X8" s="21"/>
      <c r="Y8" s="21"/>
      <c r="Z8" s="21"/>
      <c r="AA8" s="21" t="n">
        <v>2</v>
      </c>
      <c r="AB8" s="21" t="n">
        <v>3</v>
      </c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2"/>
      <c r="AU8" s="22"/>
      <c r="AV8" s="22"/>
      <c r="AW8" s="22"/>
      <c r="AX8" s="22"/>
    </row>
    <row r="9" s="7" customFormat="true" ht="15" hidden="false" customHeight="false" outlineLevel="0" collapsed="false">
      <c r="A9" s="17" t="s">
        <v>42</v>
      </c>
      <c r="B9" s="18" t="n">
        <v>1</v>
      </c>
      <c r="C9" s="18" t="n">
        <v>3</v>
      </c>
      <c r="D9" s="18" t="n">
        <v>1</v>
      </c>
      <c r="E9" s="18" t="n">
        <v>1</v>
      </c>
      <c r="F9" s="18" t="n">
        <v>1</v>
      </c>
      <c r="G9" s="18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3"/>
      <c r="AU9" s="23"/>
      <c r="AV9" s="23"/>
      <c r="AW9" s="23"/>
      <c r="AX9" s="23"/>
    </row>
    <row r="10" s="7" customFormat="true" ht="15" hidden="false" customHeight="false" outlineLevel="0" collapsed="false">
      <c r="A10" s="17" t="s">
        <v>43</v>
      </c>
      <c r="B10" s="18" t="n">
        <v>1</v>
      </c>
      <c r="C10" s="18" t="n">
        <v>2</v>
      </c>
      <c r="D10" s="18"/>
      <c r="E10" s="18"/>
      <c r="F10" s="18"/>
      <c r="G10" s="1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3"/>
      <c r="AU10" s="23"/>
      <c r="AV10" s="23"/>
      <c r="AW10" s="23"/>
      <c r="AX10" s="23"/>
    </row>
    <row r="11" s="7" customFormat="true" ht="15" hidden="false" customHeight="false" outlineLevel="0" collapsed="false">
      <c r="A11" s="17" t="s">
        <v>44</v>
      </c>
      <c r="B11" s="18" t="n">
        <v>1</v>
      </c>
      <c r="C11" s="18"/>
      <c r="D11" s="18"/>
      <c r="E11" s="18"/>
      <c r="F11" s="18"/>
      <c r="G11" s="18"/>
      <c r="H11" s="21"/>
      <c r="I11" s="21"/>
      <c r="J11" s="21"/>
      <c r="K11" s="21"/>
      <c r="L11" s="21"/>
      <c r="M11" s="21"/>
      <c r="N11" s="21"/>
      <c r="O11" s="21" t="n">
        <v>2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3"/>
      <c r="AU11" s="23"/>
      <c r="AV11" s="23"/>
      <c r="AW11" s="23"/>
      <c r="AX11" s="23"/>
    </row>
    <row r="12" s="18" customFormat="true" ht="15" hidden="false" customHeight="false" outlineLevel="0" collapsed="false">
      <c r="A12" s="17" t="s">
        <v>45</v>
      </c>
      <c r="B12" s="18" t="n">
        <v>1</v>
      </c>
      <c r="C12" s="18" t="n">
        <v>1</v>
      </c>
      <c r="D12" s="18" t="n">
        <v>4</v>
      </c>
      <c r="E12" s="18" t="n">
        <v>6</v>
      </c>
      <c r="F12" s="18" t="n">
        <v>9</v>
      </c>
      <c r="G12" s="18" t="n">
        <v>2</v>
      </c>
      <c r="H12" s="18" t="n">
        <v>3</v>
      </c>
      <c r="I12" s="18" t="n">
        <v>4</v>
      </c>
      <c r="J12" s="18" t="n">
        <v>1</v>
      </c>
      <c r="L12" s="18" t="n">
        <v>3</v>
      </c>
      <c r="S12" s="18" t="n">
        <v>3</v>
      </c>
      <c r="T12" s="18" t="n">
        <v>1</v>
      </c>
      <c r="U12" s="18" t="n">
        <v>2</v>
      </c>
      <c r="V12" s="18" t="n">
        <v>3</v>
      </c>
      <c r="X12" s="18" t="n">
        <v>3</v>
      </c>
      <c r="Y12" s="18" t="n">
        <v>4</v>
      </c>
      <c r="Z12" s="18" t="n">
        <v>2</v>
      </c>
      <c r="AA12" s="18" t="n">
        <v>1</v>
      </c>
      <c r="AC12" s="18" t="n">
        <v>1</v>
      </c>
      <c r="AD12" s="18" t="n">
        <v>1</v>
      </c>
      <c r="AG12" s="18" t="n">
        <v>2</v>
      </c>
      <c r="AQ12" s="21"/>
      <c r="AR12" s="21"/>
      <c r="AS12" s="21"/>
      <c r="AT12" s="22"/>
      <c r="AU12" s="22"/>
      <c r="AV12" s="22"/>
      <c r="AW12" s="22"/>
      <c r="AX12" s="22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</row>
    <row r="13" s="18" customFormat="true" ht="15" hidden="false" customHeight="false" outlineLevel="0" collapsed="false">
      <c r="A13" s="17" t="s">
        <v>46</v>
      </c>
      <c r="B13" s="18" t="n">
        <v>4</v>
      </c>
      <c r="C13" s="18" t="n">
        <v>2</v>
      </c>
      <c r="E13" s="18" t="n">
        <v>1</v>
      </c>
      <c r="G13" s="18" t="n">
        <v>2</v>
      </c>
      <c r="I13" s="18" t="n">
        <v>1</v>
      </c>
      <c r="K13" s="18" t="n">
        <v>1</v>
      </c>
      <c r="L13" s="18" t="n">
        <v>1</v>
      </c>
      <c r="V13" s="18" t="n">
        <v>1</v>
      </c>
      <c r="Y13" s="18" t="n">
        <v>2</v>
      </c>
      <c r="Z13" s="18" t="n">
        <v>1</v>
      </c>
      <c r="AG13" s="18" t="n">
        <v>1</v>
      </c>
      <c r="AQ13" s="21"/>
      <c r="AR13" s="21"/>
      <c r="AS13" s="21"/>
      <c r="AT13" s="22"/>
      <c r="AU13" s="22"/>
      <c r="AV13" s="22"/>
      <c r="AW13" s="22"/>
      <c r="AX13" s="22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</row>
    <row r="14" s="1" customFormat="true" ht="15" hidden="false" customHeight="false" outlineLevel="0" collapsed="false">
      <c r="A14" s="17" t="s">
        <v>47</v>
      </c>
      <c r="B14" s="18" t="n">
        <v>10</v>
      </c>
      <c r="C14" s="18" t="n">
        <v>3</v>
      </c>
      <c r="D14" s="18" t="n">
        <v>6</v>
      </c>
      <c r="E14" s="18" t="n">
        <v>16</v>
      </c>
      <c r="F14" s="18" t="n">
        <v>6</v>
      </c>
      <c r="G14" s="18" t="n">
        <v>14</v>
      </c>
      <c r="H14" s="24" t="s">
        <v>48</v>
      </c>
      <c r="I14" s="24" t="s">
        <v>49</v>
      </c>
      <c r="J14" s="24" t="s">
        <v>50</v>
      </c>
      <c r="K14" s="24" t="s">
        <v>50</v>
      </c>
      <c r="L14" s="24" t="s">
        <v>49</v>
      </c>
      <c r="M14" s="24" t="s">
        <v>50</v>
      </c>
      <c r="N14" s="24" t="s">
        <v>50</v>
      </c>
      <c r="O14" s="24" t="s">
        <v>51</v>
      </c>
      <c r="P14" s="24" t="s">
        <v>49</v>
      </c>
      <c r="Q14" s="24"/>
      <c r="R14" s="24"/>
      <c r="S14" s="24" t="s">
        <v>52</v>
      </c>
      <c r="T14" s="24" t="s">
        <v>49</v>
      </c>
      <c r="U14" s="24"/>
      <c r="V14" s="24" t="s">
        <v>49</v>
      </c>
      <c r="W14" s="24"/>
      <c r="X14" s="24" t="s">
        <v>49</v>
      </c>
      <c r="Y14" s="24" t="s">
        <v>51</v>
      </c>
      <c r="Z14" s="24" t="s">
        <v>53</v>
      </c>
      <c r="AA14" s="24" t="s">
        <v>48</v>
      </c>
      <c r="AB14" s="24"/>
      <c r="AC14" s="24" t="s">
        <v>50</v>
      </c>
      <c r="AD14" s="24"/>
      <c r="AE14" s="24"/>
      <c r="AF14" s="24"/>
      <c r="AG14" s="24" t="s">
        <v>54</v>
      </c>
      <c r="AH14" s="24"/>
      <c r="AI14" s="24"/>
      <c r="AJ14" s="24"/>
      <c r="AK14" s="24"/>
      <c r="AL14" s="24"/>
      <c r="AM14" s="24"/>
      <c r="AN14" s="24"/>
      <c r="AO14" s="24"/>
      <c r="AP14" s="24"/>
      <c r="AQ14" s="25"/>
      <c r="AR14" s="25"/>
      <c r="AS14" s="25"/>
      <c r="AT14" s="26"/>
      <c r="AU14" s="26"/>
      <c r="AV14" s="26"/>
      <c r="AW14" s="26"/>
      <c r="AX14" s="26"/>
    </row>
    <row r="15" s="1" customFormat="true" ht="15" hidden="false" customHeight="false" outlineLevel="0" collapsed="false">
      <c r="A15" s="17" t="s">
        <v>55</v>
      </c>
      <c r="B15" s="18"/>
      <c r="C15" s="18"/>
      <c r="D15" s="18"/>
      <c r="E15" s="18"/>
      <c r="F15" s="18"/>
      <c r="G15" s="18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 t="s">
        <v>49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5"/>
      <c r="AR15" s="25"/>
      <c r="AS15" s="25"/>
      <c r="AT15" s="26"/>
      <c r="AU15" s="26"/>
      <c r="AV15" s="26"/>
      <c r="AW15" s="26"/>
      <c r="AX15" s="26"/>
    </row>
    <row r="16" s="24" customFormat="true" ht="15" hidden="false" customHeight="false" outlineLevel="0" collapsed="false">
      <c r="A16" s="17" t="s">
        <v>56</v>
      </c>
      <c r="B16" s="18"/>
      <c r="C16" s="18"/>
      <c r="D16" s="18"/>
      <c r="E16" s="18"/>
      <c r="F16" s="18"/>
      <c r="G16" s="18"/>
      <c r="O16" s="24" t="s">
        <v>49</v>
      </c>
      <c r="Y16" s="24" t="s">
        <v>49</v>
      </c>
      <c r="AQ16" s="25"/>
      <c r="AR16" s="25"/>
      <c r="AS16" s="25"/>
      <c r="AT16" s="26"/>
      <c r="AU16" s="26"/>
      <c r="AV16" s="26"/>
      <c r="AW16" s="26"/>
      <c r="AX16" s="26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</row>
    <row r="17" s="1" customFormat="true" ht="15" hidden="false" customHeight="false" outlineLevel="0" collapsed="false">
      <c r="A17" s="17" t="s">
        <v>57</v>
      </c>
      <c r="B17" s="18" t="n">
        <v>21</v>
      </c>
      <c r="C17" s="18" t="n">
        <v>6</v>
      </c>
      <c r="D17" s="18" t="n">
        <v>12</v>
      </c>
      <c r="E17" s="18" t="n">
        <v>23</v>
      </c>
      <c r="F17" s="18" t="n">
        <v>16</v>
      </c>
      <c r="G17" s="18" t="n">
        <v>17</v>
      </c>
      <c r="H17" s="21" t="n">
        <v>9</v>
      </c>
      <c r="I17" s="21" t="n">
        <v>8</v>
      </c>
      <c r="J17" s="21" t="n">
        <v>4</v>
      </c>
      <c r="K17" s="21" t="n">
        <v>11</v>
      </c>
      <c r="L17" s="21" t="n">
        <v>14</v>
      </c>
      <c r="M17" s="21" t="n">
        <v>3</v>
      </c>
      <c r="N17" s="21" t="n">
        <v>9</v>
      </c>
      <c r="O17" s="21" t="n">
        <v>7</v>
      </c>
      <c r="P17" s="21" t="n">
        <v>10</v>
      </c>
      <c r="Q17" s="21" t="n">
        <v>4</v>
      </c>
      <c r="R17" s="21" t="n">
        <v>2</v>
      </c>
      <c r="S17" s="21" t="n">
        <v>36</v>
      </c>
      <c r="T17" s="21" t="n">
        <v>44</v>
      </c>
      <c r="U17" s="21" t="n">
        <v>47</v>
      </c>
      <c r="V17" s="21" t="n">
        <v>30</v>
      </c>
      <c r="W17" s="21" t="n">
        <v>86</v>
      </c>
      <c r="X17" s="21" t="n">
        <v>125</v>
      </c>
      <c r="Y17" s="21" t="n">
        <v>99</v>
      </c>
      <c r="Z17" s="21" t="n">
        <v>121</v>
      </c>
      <c r="AA17" s="21" t="n">
        <v>164</v>
      </c>
      <c r="AB17" s="21" t="n">
        <v>86</v>
      </c>
      <c r="AC17" s="21" t="n">
        <v>95</v>
      </c>
      <c r="AD17" s="21" t="n">
        <v>5</v>
      </c>
      <c r="AE17" s="21" t="n">
        <v>4</v>
      </c>
      <c r="AF17" s="21" t="n">
        <v>32</v>
      </c>
      <c r="AG17" s="21" t="n">
        <v>28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2"/>
      <c r="AU17" s="22"/>
      <c r="AV17" s="22"/>
      <c r="AW17" s="22"/>
      <c r="AX17" s="22"/>
    </row>
    <row r="18" s="1" customFormat="true" ht="15" hidden="false" customHeight="false" outlineLevel="0" collapsed="false">
      <c r="A18" s="17" t="s">
        <v>58</v>
      </c>
      <c r="B18" s="18"/>
      <c r="C18" s="18"/>
      <c r="D18" s="18" t="n">
        <v>2</v>
      </c>
      <c r="E18" s="18" t="n">
        <v>1</v>
      </c>
      <c r="F18" s="18" t="n">
        <v>4</v>
      </c>
      <c r="G18" s="18"/>
      <c r="H18" s="19" t="n">
        <v>4</v>
      </c>
      <c r="I18" s="19" t="n">
        <v>1</v>
      </c>
      <c r="J18" s="19"/>
      <c r="K18" s="19"/>
      <c r="L18" s="19" t="n">
        <v>1</v>
      </c>
      <c r="M18" s="19"/>
      <c r="N18" s="19"/>
      <c r="O18" s="19"/>
      <c r="P18" s="19" t="n">
        <v>1</v>
      </c>
      <c r="Q18" s="19"/>
      <c r="R18" s="19"/>
      <c r="S18" s="19" t="n">
        <v>1</v>
      </c>
      <c r="T18" s="19"/>
      <c r="U18" s="19"/>
      <c r="V18" s="19" t="n">
        <v>1</v>
      </c>
      <c r="W18" s="19"/>
      <c r="X18" s="19"/>
      <c r="Y18" s="19"/>
      <c r="Z18" s="19" t="n">
        <v>1</v>
      </c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25"/>
      <c r="AR18" s="25"/>
      <c r="AS18" s="25"/>
      <c r="AT18" s="26"/>
      <c r="AU18" s="26"/>
      <c r="AV18" s="26"/>
      <c r="AW18" s="26"/>
      <c r="AX18" s="26"/>
    </row>
    <row r="19" s="1" customFormat="true" ht="15" hidden="false" customHeight="false" outlineLevel="0" collapsed="false">
      <c r="A19" s="17" t="s">
        <v>59</v>
      </c>
      <c r="B19" s="18" t="n">
        <v>15</v>
      </c>
      <c r="C19" s="18" t="n">
        <v>5</v>
      </c>
      <c r="D19" s="18" t="n">
        <v>18</v>
      </c>
      <c r="E19" s="18" t="n">
        <v>15</v>
      </c>
      <c r="F19" s="18" t="n">
        <v>9</v>
      </c>
      <c r="G19" s="18" t="n">
        <v>27</v>
      </c>
      <c r="H19" s="19" t="n">
        <v>9</v>
      </c>
      <c r="I19" s="19" t="n">
        <v>2</v>
      </c>
      <c r="J19" s="19" t="n">
        <v>6</v>
      </c>
      <c r="K19" s="19" t="n">
        <v>3</v>
      </c>
      <c r="L19" s="19" t="n">
        <v>6</v>
      </c>
      <c r="M19" s="19"/>
      <c r="N19" s="19" t="n">
        <v>4</v>
      </c>
      <c r="O19" s="19" t="n">
        <v>2</v>
      </c>
      <c r="P19" s="19" t="n">
        <v>2</v>
      </c>
      <c r="Q19" s="19"/>
      <c r="R19" s="19"/>
      <c r="S19" s="19" t="n">
        <v>6</v>
      </c>
      <c r="T19" s="19" t="n">
        <v>1</v>
      </c>
      <c r="U19" s="19" t="n">
        <v>5</v>
      </c>
      <c r="V19" s="19" t="n">
        <v>10</v>
      </c>
      <c r="W19" s="19" t="n">
        <v>11</v>
      </c>
      <c r="X19" s="19" t="n">
        <v>9</v>
      </c>
      <c r="Y19" s="19" t="n">
        <v>12</v>
      </c>
      <c r="Z19" s="19" t="n">
        <v>9</v>
      </c>
      <c r="AA19" s="19" t="n">
        <v>27</v>
      </c>
      <c r="AB19" s="19" t="n">
        <v>13</v>
      </c>
      <c r="AC19" s="19" t="n">
        <v>19</v>
      </c>
      <c r="AD19" s="19" t="n">
        <v>0</v>
      </c>
      <c r="AE19" s="19" t="n">
        <v>0</v>
      </c>
      <c r="AF19" s="19" t="n">
        <v>4</v>
      </c>
      <c r="AG19" s="19" t="n">
        <v>6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25"/>
      <c r="AR19" s="25"/>
      <c r="AS19" s="25"/>
      <c r="AT19" s="26"/>
      <c r="AU19" s="26"/>
      <c r="AV19" s="26"/>
      <c r="AW19" s="26"/>
      <c r="AX19" s="26"/>
    </row>
    <row r="20" s="1" customFormat="true" ht="15" hidden="false" customHeight="false" outlineLevel="0" collapsed="false">
      <c r="A20" s="17" t="s">
        <v>60</v>
      </c>
      <c r="B20" s="18"/>
      <c r="C20" s="18"/>
      <c r="D20" s="18"/>
      <c r="E20" s="18"/>
      <c r="F20" s="18"/>
      <c r="G20" s="18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 t="n">
        <v>1</v>
      </c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25"/>
      <c r="AR20" s="25"/>
      <c r="AS20" s="25"/>
      <c r="AT20" s="26"/>
      <c r="AU20" s="26"/>
      <c r="AV20" s="26"/>
      <c r="AW20" s="26"/>
      <c r="AX20" s="26"/>
    </row>
    <row r="21" s="1" customFormat="true" ht="15" hidden="false" customHeight="false" outlineLevel="0" collapsed="false">
      <c r="A21" s="17" t="s">
        <v>61</v>
      </c>
      <c r="B21" s="18"/>
      <c r="C21" s="18"/>
      <c r="D21" s="18"/>
      <c r="E21" s="18"/>
      <c r="F21" s="18"/>
      <c r="G21" s="18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 t="n">
        <v>1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2"/>
      <c r="AU21" s="22"/>
      <c r="AV21" s="22"/>
      <c r="AW21" s="22"/>
      <c r="AX21" s="22"/>
    </row>
    <row r="22" s="1" customFormat="true" ht="15" hidden="false" customHeight="false" outlineLevel="0" collapsed="false">
      <c r="A22" s="17" t="s">
        <v>62</v>
      </c>
      <c r="B22" s="18" t="n">
        <v>3</v>
      </c>
      <c r="C22" s="18" t="n">
        <v>4</v>
      </c>
      <c r="D22" s="18" t="n">
        <v>2</v>
      </c>
      <c r="E22" s="18" t="n">
        <v>3</v>
      </c>
      <c r="F22" s="18" t="n">
        <v>12</v>
      </c>
      <c r="G22" s="18" t="n">
        <v>12</v>
      </c>
      <c r="H22" s="19" t="n">
        <v>4</v>
      </c>
      <c r="I22" s="19"/>
      <c r="J22" s="19"/>
      <c r="K22" s="19"/>
      <c r="L22" s="19"/>
      <c r="M22" s="19"/>
      <c r="N22" s="19" t="n">
        <v>2</v>
      </c>
      <c r="O22" s="19"/>
      <c r="P22" s="19"/>
      <c r="Q22" s="19" t="n">
        <v>1</v>
      </c>
      <c r="R22" s="19"/>
      <c r="S22" s="19" t="n">
        <v>3</v>
      </c>
      <c r="T22" s="19"/>
      <c r="U22" s="19"/>
      <c r="V22" s="19" t="n">
        <v>3</v>
      </c>
      <c r="W22" s="19"/>
      <c r="X22" s="19" t="n">
        <v>2</v>
      </c>
      <c r="Y22" s="19" t="n">
        <v>4</v>
      </c>
      <c r="Z22" s="19" t="n">
        <v>2</v>
      </c>
      <c r="AA22" s="19" t="n">
        <v>3</v>
      </c>
      <c r="AB22" s="19"/>
      <c r="AC22" s="19" t="n">
        <v>1</v>
      </c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25"/>
      <c r="AR22" s="25"/>
      <c r="AS22" s="25"/>
      <c r="AT22" s="26"/>
      <c r="AU22" s="26"/>
      <c r="AV22" s="26"/>
      <c r="AW22" s="26"/>
      <c r="AX22" s="26"/>
    </row>
    <row r="23" s="1" customFormat="true" ht="15" hidden="false" customHeight="false" outlineLevel="0" collapsed="false">
      <c r="A23" s="17" t="s">
        <v>63</v>
      </c>
      <c r="B23" s="18"/>
      <c r="C23" s="18"/>
      <c r="D23" s="18"/>
      <c r="E23" s="18"/>
      <c r="F23" s="18"/>
      <c r="G23" s="18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 t="n">
        <v>1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25"/>
      <c r="AR23" s="25"/>
      <c r="AS23" s="25"/>
      <c r="AT23" s="26"/>
      <c r="AU23" s="26"/>
      <c r="AV23" s="26"/>
      <c r="AW23" s="26"/>
      <c r="AX23" s="26"/>
    </row>
    <row r="24" s="1" customFormat="true" ht="15" hidden="false" customHeight="false" outlineLevel="0" collapsed="false">
      <c r="A24" s="17" t="s">
        <v>64</v>
      </c>
      <c r="B24" s="18"/>
      <c r="C24" s="18"/>
      <c r="D24" s="18"/>
      <c r="E24" s="18"/>
      <c r="F24" s="18"/>
      <c r="G24" s="18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 t="n">
        <v>1</v>
      </c>
      <c r="V24" s="19" t="n">
        <v>1</v>
      </c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25"/>
      <c r="AR24" s="25"/>
      <c r="AS24" s="25"/>
      <c r="AT24" s="26"/>
      <c r="AU24" s="26"/>
      <c r="AV24" s="26"/>
      <c r="AW24" s="26"/>
      <c r="AX24" s="26"/>
    </row>
    <row r="25" s="1" customFormat="true" ht="15" hidden="false" customHeight="false" outlineLevel="0" collapsed="false">
      <c r="A25" s="17" t="s">
        <v>65</v>
      </c>
      <c r="B25" s="18"/>
      <c r="C25" s="18"/>
      <c r="D25" s="18" t="n">
        <v>1</v>
      </c>
      <c r="E25" s="18"/>
      <c r="F25" s="18" t="n">
        <v>1</v>
      </c>
      <c r="G25" s="1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2"/>
      <c r="AU25" s="22"/>
      <c r="AV25" s="22"/>
      <c r="AW25" s="22"/>
      <c r="AX25" s="22"/>
    </row>
    <row r="26" s="1" customFormat="true" ht="15" hidden="false" customHeight="false" outlineLevel="0" collapsed="false">
      <c r="A26" s="17" t="s">
        <v>66</v>
      </c>
      <c r="B26" s="18"/>
      <c r="C26" s="18"/>
      <c r="D26" s="18"/>
      <c r="E26" s="18" t="n">
        <v>2</v>
      </c>
      <c r="F26" s="18"/>
      <c r="G26" s="18"/>
      <c r="H26" s="21"/>
      <c r="I26" s="21"/>
      <c r="J26" s="21"/>
      <c r="K26" s="21" t="n">
        <v>1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2"/>
      <c r="AU26" s="22"/>
      <c r="AV26" s="22"/>
      <c r="AW26" s="22"/>
      <c r="AX26" s="22"/>
    </row>
    <row r="27" s="27" customFormat="true" ht="15" hidden="false" customHeight="false" outlineLevel="0" collapsed="false">
      <c r="A27" s="17" t="s">
        <v>67</v>
      </c>
      <c r="B27" s="18" t="n">
        <v>186</v>
      </c>
      <c r="C27" s="18" t="n">
        <v>65</v>
      </c>
      <c r="D27" s="18" t="n">
        <v>500</v>
      </c>
      <c r="E27" s="18" t="n">
        <v>440</v>
      </c>
      <c r="F27" s="18" t="n">
        <v>500</v>
      </c>
      <c r="G27" s="18" t="n">
        <v>500</v>
      </c>
      <c r="H27" s="21" t="n">
        <v>500</v>
      </c>
      <c r="I27" s="21" t="n">
        <v>283</v>
      </c>
      <c r="J27" s="21" t="n">
        <v>264</v>
      </c>
      <c r="K27" s="21" t="n">
        <v>303</v>
      </c>
      <c r="L27" s="21" t="n">
        <v>500</v>
      </c>
      <c r="M27" s="21" t="n">
        <v>153</v>
      </c>
      <c r="N27" s="21" t="n">
        <v>500</v>
      </c>
      <c r="O27" s="21" t="n">
        <v>500</v>
      </c>
      <c r="P27" s="21" t="n">
        <v>500</v>
      </c>
      <c r="Q27" s="21" t="n">
        <v>500</v>
      </c>
      <c r="R27" s="21" t="n">
        <v>500</v>
      </c>
      <c r="S27" s="21" t="n">
        <v>500</v>
      </c>
      <c r="T27" s="21" t="n">
        <v>500</v>
      </c>
      <c r="U27" s="21" t="n">
        <v>500</v>
      </c>
      <c r="V27" s="21" t="n">
        <v>500</v>
      </c>
      <c r="W27" s="21" t="n">
        <v>500</v>
      </c>
      <c r="X27" s="21" t="n">
        <v>500</v>
      </c>
      <c r="Y27" s="21" t="n">
        <v>500</v>
      </c>
      <c r="Z27" s="21" t="n">
        <v>500</v>
      </c>
      <c r="AA27" s="21" t="n">
        <v>500</v>
      </c>
      <c r="AB27" s="21" t="n">
        <v>500</v>
      </c>
      <c r="AC27" s="21" t="n">
        <v>500</v>
      </c>
      <c r="AD27" s="21" t="n">
        <v>500</v>
      </c>
      <c r="AE27" s="21" t="n">
        <v>500</v>
      </c>
      <c r="AF27" s="21" t="n">
        <v>500</v>
      </c>
      <c r="AG27" s="21" t="n">
        <v>455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2"/>
      <c r="AU27" s="22"/>
      <c r="AV27" s="22"/>
      <c r="AW27" s="22"/>
      <c r="AX27" s="22"/>
    </row>
    <row r="28" s="27" customFormat="true" ht="15" hidden="false" customHeight="false" outlineLevel="0" collapsed="false">
      <c r="A28" s="28" t="s">
        <v>68</v>
      </c>
      <c r="B28" s="29" t="n">
        <v>3.1</v>
      </c>
      <c r="C28" s="29" t="n">
        <v>5.2</v>
      </c>
      <c r="D28" s="29" t="n">
        <v>3.1</v>
      </c>
      <c r="E28" s="29" t="n">
        <v>5.1</v>
      </c>
      <c r="F28" s="29" t="n">
        <v>3.3</v>
      </c>
      <c r="G28" s="29" t="n">
        <v>5.3</v>
      </c>
      <c r="H28" s="30" t="n">
        <v>3.3</v>
      </c>
      <c r="I28" s="30" t="n">
        <v>3.1</v>
      </c>
      <c r="J28" s="30" t="n">
        <v>3.2</v>
      </c>
      <c r="K28" s="30" t="n">
        <v>3.2</v>
      </c>
      <c r="L28" s="30" t="n">
        <v>3.1</v>
      </c>
      <c r="M28" s="30" t="n">
        <v>3.3</v>
      </c>
      <c r="N28" s="30" t="n">
        <v>3.2</v>
      </c>
      <c r="O28" s="30" t="n">
        <v>3.1</v>
      </c>
      <c r="P28" s="30" t="n">
        <v>3.3</v>
      </c>
      <c r="Q28" s="30" t="n">
        <v>3.1</v>
      </c>
      <c r="R28" s="30" t="n">
        <v>3.1</v>
      </c>
      <c r="S28" s="30" t="n">
        <v>3.2</v>
      </c>
      <c r="T28" s="30" t="n">
        <v>3.2</v>
      </c>
      <c r="U28" s="30" t="n">
        <v>5.1</v>
      </c>
      <c r="V28" s="30" t="n">
        <v>5.1</v>
      </c>
      <c r="W28" s="30" t="n">
        <v>5.1</v>
      </c>
      <c r="X28" s="30" t="n">
        <v>5.1</v>
      </c>
      <c r="Y28" s="30" t="n">
        <v>5.1</v>
      </c>
      <c r="Z28" s="30" t="n">
        <v>5.1</v>
      </c>
      <c r="AA28" s="30" t="n">
        <v>5.1</v>
      </c>
      <c r="AB28" s="30" t="n">
        <v>5.1</v>
      </c>
      <c r="AC28" s="30" t="n">
        <v>5.2</v>
      </c>
      <c r="AD28" s="30" t="n">
        <v>5.3</v>
      </c>
      <c r="AE28" s="30" t="n">
        <v>5.3</v>
      </c>
      <c r="AF28" s="30" t="n">
        <v>5.1</v>
      </c>
      <c r="AG28" s="30" t="n">
        <v>5.3</v>
      </c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1"/>
      <c r="AU28" s="31"/>
      <c r="AV28" s="31"/>
      <c r="AW28" s="31"/>
      <c r="AX28" s="31"/>
    </row>
    <row r="29" customFormat="false" ht="15" hidden="false" customHeight="false" outlineLevel="0" collapsed="false">
      <c r="A29" s="17" t="s">
        <v>69</v>
      </c>
      <c r="B29" s="1" t="n">
        <f aca="false">((20848*2)*B7)/(B27+B28)</f>
        <v>9701.87202538339</v>
      </c>
      <c r="C29" s="1" t="n">
        <f aca="false">((20848*2)*C7)/(C27+C28)</f>
        <v>20194.6438746439</v>
      </c>
      <c r="D29" s="1" t="n">
        <f aca="false">((20848*2)*D7)/(D27+D28)</f>
        <v>3812.39515006957</v>
      </c>
      <c r="E29" s="1" t="n">
        <f aca="false">((20848*2)*E7)/(E27+E28)</f>
        <v>3653.43518310492</v>
      </c>
      <c r="F29" s="1" t="n">
        <f aca="false">((20848*2)*F7)/(F27+F28)</f>
        <v>2816.73753228691</v>
      </c>
      <c r="G29" s="1" t="n">
        <f aca="false">((20848*2)*G7)/(G27+G28)</f>
        <v>4620.96972095785</v>
      </c>
      <c r="H29" s="1" t="n">
        <f aca="false">((20848*2)*H7)/(H27+H28)</f>
        <v>1076.98787999205</v>
      </c>
      <c r="I29" s="1" t="n">
        <f aca="false">((20848*2)*I7)/(I27+I28)</f>
        <v>2477.56728416638</v>
      </c>
      <c r="J29" s="1" t="n">
        <f aca="false">((20848*2)*J7)/(J27+J28)</f>
        <v>1092.33532934132</v>
      </c>
      <c r="K29" s="1" t="n">
        <f aca="false">((20848*2)*K7)/(K27+K28)</f>
        <v>1497.89679947747</v>
      </c>
      <c r="L29" s="1" t="n">
        <f aca="false">((20848*2)*L7)/(L27+L28)</f>
        <v>580.147088054065</v>
      </c>
      <c r="M29" s="1" t="n">
        <f aca="false">((20848*2)*M7)/(M27+M28)</f>
        <v>800.307101727447</v>
      </c>
      <c r="N29" s="1" t="n">
        <f aca="false">((20848*2)*N7)/(N27+N28)</f>
        <v>248.585055643879</v>
      </c>
      <c r="O29" s="1" t="n">
        <f aca="false">((20848*2)*O7)/(O27+O28)</f>
        <v>248.634466308885</v>
      </c>
      <c r="P29" s="1" t="n">
        <f aca="false">((20848*2)*P7)/(P27+P28)</f>
        <v>248.535664613551</v>
      </c>
      <c r="Q29" s="1" t="n">
        <f aca="false">((20848*2)*Q7)/(Q27+Q28)</f>
        <v>0</v>
      </c>
      <c r="R29" s="1" t="n">
        <f aca="false">((20848*2)*R7)/(R27+R28)</f>
        <v>0</v>
      </c>
      <c r="S29" s="1" t="n">
        <f aca="false">((20848*2)*S7)/(S27+S28)</f>
        <v>82.8616852146264</v>
      </c>
      <c r="T29" s="1" t="n">
        <f aca="false">((20848*2)*T7)/(T27+T28)</f>
        <v>165.723370429253</v>
      </c>
      <c r="U29" s="1" t="n">
        <f aca="false">((20848*2)*U7)/(U27+U28)</f>
        <v>247.64997030291</v>
      </c>
      <c r="V29" s="1" t="n">
        <f aca="false">((20848*2)*V7)/(V27+V28)</f>
        <v>247.64997030291</v>
      </c>
      <c r="W29" s="1" t="n">
        <f aca="false">((20848*2)*W7)/(W27+W28)</f>
        <v>165.09998020194</v>
      </c>
      <c r="X29" s="1" t="n">
        <f aca="false">((20848*2)*X7)/(X27+X28)</f>
        <v>0</v>
      </c>
      <c r="Y29" s="1" t="n">
        <f aca="false">((20848*2)*Y7)/(Y27+Y28)</f>
        <v>247.64997030291</v>
      </c>
      <c r="Z29" s="1" t="n">
        <f aca="false">((20848*2)*Z7)/(Z27+Z28)</f>
        <v>165.09998020194</v>
      </c>
      <c r="AA29" s="1" t="n">
        <f aca="false">((20848*2)*AA7)/(AA27+AA28)</f>
        <v>412.749950504851</v>
      </c>
      <c r="AB29" s="1" t="n">
        <f aca="false">((20848*2)*AB7)/(AB27+AB28)</f>
        <v>412.749950504851</v>
      </c>
      <c r="AC29" s="1" t="n">
        <f aca="false">((20848*2)*AC7)/(AC27+AC28)</f>
        <v>165.067300079177</v>
      </c>
      <c r="AD29" s="1" t="n">
        <f aca="false">((20848*2)*AD7)/(AD27+AD28)</f>
        <v>0</v>
      </c>
      <c r="AE29" s="1" t="n">
        <f aca="false">((20848*2)*AE7)/(AE27+AE28)</f>
        <v>0</v>
      </c>
      <c r="AF29" s="1" t="n">
        <f aca="false">((20848*2)*AF7)/(AF27+AF28)</f>
        <v>0</v>
      </c>
      <c r="AG29" s="1" t="n">
        <f aca="false">((20848*2)*AG7)/(AG27+AG28)</f>
        <v>181.168802954595</v>
      </c>
    </row>
    <row r="30" customFormat="false" ht="15" hidden="false" customHeight="false" outlineLevel="0" collapsed="false">
      <c r="A30" s="17" t="s">
        <v>70</v>
      </c>
      <c r="B30" s="1" t="n">
        <f aca="false">((20848*2)*B14)/(B27+B28)</f>
        <v>2204.97091485986</v>
      </c>
      <c r="C30" s="1" t="n">
        <f aca="false">((20848*2)*C14)/(C27+C28)</f>
        <v>1781.88034188034</v>
      </c>
      <c r="D30" s="1" t="n">
        <f aca="false">((20848*2)*D14)/(D27+D28)</f>
        <v>497.26893261777</v>
      </c>
      <c r="E30" s="1" t="n">
        <f aca="false">((20848*2)*E14)/(E27+E28)</f>
        <v>1498.8452033251</v>
      </c>
      <c r="F30" s="1" t="n">
        <f aca="false">((20848*2)*F14)/(F27+F28)</f>
        <v>497.071329227101</v>
      </c>
      <c r="G30" s="1" t="n">
        <f aca="false">((20848*2)*G14)/(G27+G28)</f>
        <v>1155.24243023946</v>
      </c>
      <c r="H30" s="1" t="n">
        <f aca="false">((20848*2)*H14)/(H27+H28)</f>
        <v>248.535664613551</v>
      </c>
      <c r="I30" s="1" t="n">
        <f aca="false">((20848*2)*I14)/(I27+I28)</f>
        <v>145.739252009787</v>
      </c>
      <c r="J30" s="1" t="n">
        <f aca="false">((20848*2)*J14)/(J27+J28)</f>
        <v>312.095808383234</v>
      </c>
      <c r="K30" s="1" t="n">
        <f aca="false">((20848*2)*K14)/(K27+K28)</f>
        <v>272.344872632267</v>
      </c>
      <c r="L30" s="1" t="n">
        <f aca="false">((20848*2)*L14)/(L27+L28)</f>
        <v>82.878155436295</v>
      </c>
      <c r="M30" s="1" t="n">
        <f aca="false">((20848*2)*M14)/(M27+M28)</f>
        <v>533.538067818298</v>
      </c>
      <c r="N30" s="1" t="n">
        <f aca="false">((20848*2)*N14)/(N27+N28)</f>
        <v>165.723370429253</v>
      </c>
      <c r="O30" s="1" t="n">
        <f aca="false">((20848*2)*O14)/(O27+O28)</f>
        <v>331.51262174518</v>
      </c>
      <c r="P30" s="1" t="n">
        <f aca="false">((20848*2)*P14)/(P27+P28)</f>
        <v>82.8452215378502</v>
      </c>
      <c r="Q30" s="1" t="n">
        <f aca="false">((20848*2)*Q14)/(Q27+Q28)</f>
        <v>0</v>
      </c>
      <c r="R30" s="1" t="n">
        <f aca="false">((20848*2)*R14)/(R27+R28)</f>
        <v>0</v>
      </c>
      <c r="S30" s="1" t="n">
        <f aca="false">((20848*2)*S14)/(S27+S28)</f>
        <v>580.031796502385</v>
      </c>
      <c r="T30" s="1" t="n">
        <f aca="false">((20848*2)*T14)/(T27+T28)</f>
        <v>82.8616852146264</v>
      </c>
      <c r="U30" s="1" t="n">
        <f aca="false">((20848*2)*U14)/(U27+U28)</f>
        <v>0</v>
      </c>
      <c r="V30" s="1" t="n">
        <f aca="false">((20848*2)*V14)/(V27+V28)</f>
        <v>82.5499901009701</v>
      </c>
      <c r="W30" s="1" t="n">
        <f aca="false">((20848*2)*W14)/(W27+W28)</f>
        <v>0</v>
      </c>
      <c r="X30" s="1" t="n">
        <f aca="false">((20848*2)*X14)/(X27+X28)</f>
        <v>82.5499901009701</v>
      </c>
      <c r="Y30" s="1" t="n">
        <f aca="false">((20848*2)*Y14)/(Y27+Y28)</f>
        <v>330.19996040388</v>
      </c>
      <c r="Z30" s="1" t="n">
        <f aca="false">((20848*2)*Z14)/(Z27+Z28)</f>
        <v>412.749950504851</v>
      </c>
      <c r="AA30" s="1" t="n">
        <f aca="false">((20848*2)*AA14)/(AA27+AA28)</f>
        <v>247.64997030291</v>
      </c>
      <c r="AB30" s="1" t="n">
        <f aca="false">((20848*2)*AB14)/(AB27+AB28)</f>
        <v>0</v>
      </c>
      <c r="AC30" s="1" t="n">
        <f aca="false">((20848*2)*AC14)/(AC27+AC28)</f>
        <v>165.067300079177</v>
      </c>
      <c r="AD30" s="1" t="n">
        <f aca="false">((20848*2)*AD14)/(AD27+AD28)</f>
        <v>0</v>
      </c>
      <c r="AE30" s="1" t="n">
        <f aca="false">((20848*2)*AE14)/(AE27+AE28)</f>
        <v>0</v>
      </c>
      <c r="AF30" s="1" t="n">
        <f aca="false">((20848*2)*AF14)/(AF27+AF28)</f>
        <v>0</v>
      </c>
      <c r="AG30" s="1" t="n">
        <f aca="false">((20848*2)*AG14)/(AG27+AG28)</f>
        <v>1177.59721920487</v>
      </c>
    </row>
    <row r="31" customFormat="false" ht="15" hidden="false" customHeight="false" outlineLevel="0" collapsed="false">
      <c r="A31" s="17" t="s">
        <v>71</v>
      </c>
      <c r="B31" s="1" t="n">
        <f aca="false">((20848*2)*B17)/(B27+B28)</f>
        <v>4630.43892120571</v>
      </c>
      <c r="C31" s="1" t="n">
        <f aca="false">((20848*2)*C17)/(C27+C28)</f>
        <v>3563.76068376068</v>
      </c>
      <c r="D31" s="1" t="n">
        <f aca="false">((20848*2)*D17)/(D27+D28)</f>
        <v>994.53786523554</v>
      </c>
      <c r="E31" s="1" t="n">
        <f aca="false">((20848*2)*E17)/(E27+E28)</f>
        <v>2154.58997977982</v>
      </c>
      <c r="F31" s="1" t="n">
        <f aca="false">((20848*2)*F17)/(F27+F28)</f>
        <v>1325.5235446056</v>
      </c>
      <c r="G31" s="1" t="n">
        <f aca="false">((20848*2)*G17)/(G27+G28)</f>
        <v>1402.79437957649</v>
      </c>
      <c r="H31" s="1" t="n">
        <f aca="false">((20848*2)*H17)/(H27+H28)</f>
        <v>745.606993840652</v>
      </c>
      <c r="I31" s="1" t="n">
        <f aca="false">((20848*2)*I17)/(I27+I28)</f>
        <v>1165.91401607829</v>
      </c>
      <c r="J31" s="1" t="n">
        <f aca="false">((20848*2)*J17)/(J27+J28)</f>
        <v>624.191616766467</v>
      </c>
      <c r="K31" s="1" t="n">
        <f aca="false">((20848*2)*K17)/(K27+K28)</f>
        <v>1497.89679947747</v>
      </c>
      <c r="L31" s="1" t="n">
        <f aca="false">((20848*2)*L17)/(L27+L28)</f>
        <v>1160.29417610813</v>
      </c>
      <c r="M31" s="1" t="n">
        <f aca="false">((20848*2)*M17)/(M27+M28)</f>
        <v>800.307101727447</v>
      </c>
      <c r="N31" s="1" t="n">
        <f aca="false">((20848*2)*N17)/(N27+N28)</f>
        <v>745.755166931638</v>
      </c>
      <c r="O31" s="1" t="n">
        <f aca="false">((20848*2)*O17)/(O27+O28)</f>
        <v>580.147088054065</v>
      </c>
      <c r="P31" s="1" t="n">
        <f aca="false">((20848*2)*P17)/(P27+P28)</f>
        <v>828.452215378502</v>
      </c>
      <c r="Q31" s="1" t="n">
        <f aca="false">((20848*2)*Q17)/(Q27+Q28)</f>
        <v>331.51262174518</v>
      </c>
      <c r="R31" s="1" t="n">
        <f aca="false">((20848*2)*R17)/(R27+R28)</f>
        <v>165.75631087259</v>
      </c>
      <c r="S31" s="1" t="n">
        <f aca="false">((20848*2)*S17)/(S27+S28)</f>
        <v>2983.02066772655</v>
      </c>
      <c r="T31" s="1" t="n">
        <f aca="false">((20848*2)*T17)/(T27+T28)</f>
        <v>3645.91414944356</v>
      </c>
      <c r="U31" s="1" t="n">
        <f aca="false">((20848*2)*U17)/(U27+U28)</f>
        <v>3879.84953474559</v>
      </c>
      <c r="V31" s="1" t="n">
        <f aca="false">((20848*2)*V17)/(V27+V28)</f>
        <v>2476.4997030291</v>
      </c>
      <c r="W31" s="1" t="n">
        <f aca="false">((20848*2)*W17)/(W27+W28)</f>
        <v>7099.29914868343</v>
      </c>
      <c r="X31" s="1" t="n">
        <f aca="false">((20848*2)*X17)/(X27+X28)</f>
        <v>10318.7487626213</v>
      </c>
      <c r="Y31" s="1" t="n">
        <f aca="false">((20848*2)*Y17)/(Y27+Y28)</f>
        <v>8172.44901999604</v>
      </c>
      <c r="Z31" s="1" t="n">
        <f aca="false">((20848*2)*Z17)/(Z27+Z28)</f>
        <v>9988.54880221738</v>
      </c>
      <c r="AA31" s="1" t="n">
        <f aca="false">((20848*2)*AA17)/(AA27+AA28)</f>
        <v>13538.1983765591</v>
      </c>
      <c r="AB31" s="1" t="n">
        <f aca="false">((20848*2)*AB17)/(AB27+AB28)</f>
        <v>7099.29914868343</v>
      </c>
      <c r="AC31" s="1" t="n">
        <f aca="false">((20848*2)*AC17)/(AC27+AC28)</f>
        <v>7840.69675376089</v>
      </c>
      <c r="AD31" s="1" t="n">
        <f aca="false">((20848*2)*AD17)/(AD27+AD28)</f>
        <v>412.586582228379</v>
      </c>
      <c r="AE31" s="1" t="n">
        <f aca="false">((20848*2)*AE17)/(AE27+AE28)</f>
        <v>330.069265782703</v>
      </c>
      <c r="AF31" s="1" t="n">
        <f aca="false">((20848*2)*AF17)/(AF27+AF28)</f>
        <v>2641.59968323104</v>
      </c>
      <c r="AG31" s="1" t="n">
        <f aca="false">((20848*2)*AG17)/(AG27+AG28)</f>
        <v>2536.36324136433</v>
      </c>
    </row>
    <row r="32" customFormat="false" ht="15" hidden="false" customHeight="false" outlineLevel="0" collapsed="false">
      <c r="A32" s="17" t="s">
        <v>72</v>
      </c>
      <c r="B32" s="1" t="n">
        <f aca="false">((20848*2)*B19)/(B27+B28)</f>
        <v>3307.45637228979</v>
      </c>
      <c r="C32" s="1" t="n">
        <f aca="false">((20848*2)*C19)/(C27+C28)</f>
        <v>2969.80056980057</v>
      </c>
      <c r="D32" s="1" t="n">
        <f aca="false">((20848*2)*D19)/(D27+D28)</f>
        <v>1491.80679785331</v>
      </c>
      <c r="E32" s="1" t="n">
        <f aca="false">((20848*2)*E19)/(E27+E28)</f>
        <v>1405.16737811728</v>
      </c>
      <c r="F32" s="1" t="n">
        <f aca="false">((20848*2)*F19)/(F27+F28)</f>
        <v>745.606993840652</v>
      </c>
      <c r="G32" s="1" t="n">
        <f aca="false">((20848*2)*G19)/(G27+G28)</f>
        <v>2227.96754403325</v>
      </c>
      <c r="H32" s="1" t="n">
        <f aca="false">((20848*2)*H19)/(H27+H28)</f>
        <v>745.606993840652</v>
      </c>
      <c r="I32" s="1" t="n">
        <f aca="false">((20848*2)*I19)/(I27+I28)</f>
        <v>291.478504019574</v>
      </c>
      <c r="J32" s="1" t="n">
        <f aca="false">((20848*2)*J19)/(J27+J28)</f>
        <v>936.287425149701</v>
      </c>
      <c r="K32" s="1" t="n">
        <f aca="false">((20848*2)*K19)/(K27+K28)</f>
        <v>408.5173089484</v>
      </c>
      <c r="L32" s="1" t="n">
        <f aca="false">((20848*2)*L19)/(L27+L28)</f>
        <v>497.26893261777</v>
      </c>
      <c r="M32" s="1" t="n">
        <f aca="false">((20848*2)*M19)/(M27+M28)</f>
        <v>0</v>
      </c>
      <c r="N32" s="1" t="n">
        <f aca="false">((20848*2)*N19)/(N27+N28)</f>
        <v>331.446740858506</v>
      </c>
      <c r="O32" s="1" t="n">
        <f aca="false">((20848*2)*O19)/(O27+O28)</f>
        <v>165.75631087259</v>
      </c>
      <c r="P32" s="1" t="n">
        <f aca="false">((20848*2)*P19)/(P27+P28)</f>
        <v>165.6904430757</v>
      </c>
      <c r="Q32" s="1" t="n">
        <f aca="false">((20848*2)*Q19)/(Q27+Q28)</f>
        <v>0</v>
      </c>
      <c r="R32" s="1" t="n">
        <f aca="false">((20848*2)*R19)/(R27+R28)</f>
        <v>0</v>
      </c>
      <c r="S32" s="1" t="n">
        <f aca="false">((20848*2)*S19)/(S27+S28)</f>
        <v>497.170111287758</v>
      </c>
      <c r="T32" s="1" t="n">
        <f aca="false">((20848*2)*T19)/(T27+T28)</f>
        <v>82.8616852146264</v>
      </c>
      <c r="U32" s="1" t="n">
        <f aca="false">((20848*2)*U19)/(U27+U28)</f>
        <v>412.749950504851</v>
      </c>
      <c r="V32" s="1" t="n">
        <f aca="false">((20848*2)*V19)/(V27+V28)</f>
        <v>825.499901009701</v>
      </c>
      <c r="W32" s="1" t="n">
        <f aca="false">((20848*2)*W19)/(W27+W28)</f>
        <v>908.049891110671</v>
      </c>
      <c r="X32" s="1" t="n">
        <f aca="false">((20848*2)*X19)/(X27+X28)</f>
        <v>742.949910908731</v>
      </c>
      <c r="Y32" s="1" t="n">
        <f aca="false">((20848*2)*Y19)/(Y27+Y28)</f>
        <v>990.599881211641</v>
      </c>
      <c r="Z32" s="1" t="n">
        <f aca="false">((20848*2)*Z19)/(Z27+Z28)</f>
        <v>742.949910908731</v>
      </c>
      <c r="AA32" s="1" t="n">
        <f aca="false">((20848*2)*AA19)/(AA27+AA28)</f>
        <v>2228.84973272619</v>
      </c>
      <c r="AB32" s="1" t="n">
        <f aca="false">((20848*2)*AB19)/(AB27+AB28)</f>
        <v>1073.14987131261</v>
      </c>
      <c r="AC32" s="1" t="n">
        <f aca="false">((20848*2)*AC19)/(AC27+AC28)</f>
        <v>1568.13935075218</v>
      </c>
      <c r="AD32" s="1" t="n">
        <f aca="false">((20848*2)*AD19)/(AD27+AD28)</f>
        <v>0</v>
      </c>
      <c r="AE32" s="1" t="n">
        <f aca="false">((20848*2)*AE19)/(AE27+AE28)</f>
        <v>0</v>
      </c>
      <c r="AF32" s="1" t="n">
        <f aca="false">((20848*2)*AF19)/(AF27+AF28)</f>
        <v>330.19996040388</v>
      </c>
      <c r="AG32" s="1" t="n">
        <f aca="false">((20848*2)*AG19)/(AG27+AG28)</f>
        <v>543.506408863785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9765625" defaultRowHeight="15" zeroHeight="false" outlineLevelRow="0" outlineLevelCol="0"/>
  <cols>
    <col collapsed="false" customWidth="true" hidden="false" outlineLevel="0" max="1" min="1" style="1" width="24.28"/>
  </cols>
  <sheetData>
    <row r="1" s="7" customFormat="true" ht="15" hidden="false" customHeight="false" outlineLevel="0" collapsed="false">
      <c r="A1" s="2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  <c r="V1" s="6" t="s">
        <v>25</v>
      </c>
      <c r="W1" s="6" t="s">
        <v>26</v>
      </c>
      <c r="X1" s="6" t="s">
        <v>27</v>
      </c>
      <c r="Y1" s="6" t="s">
        <v>28</v>
      </c>
      <c r="Z1" s="6" t="s">
        <v>29</v>
      </c>
      <c r="AA1" s="6" t="s">
        <v>30</v>
      </c>
      <c r="AB1" s="6" t="s">
        <v>31</v>
      </c>
      <c r="AC1" s="6" t="s">
        <v>32</v>
      </c>
      <c r="AD1" s="6" t="s">
        <v>33</v>
      </c>
      <c r="AE1" s="6" t="s">
        <v>34</v>
      </c>
      <c r="AF1" s="6" t="s">
        <v>35</v>
      </c>
      <c r="AG1" s="6" t="s">
        <v>36</v>
      </c>
    </row>
    <row r="2" customFormat="false" ht="15" hidden="false" customHeight="false" outlineLevel="0" collapsed="false">
      <c r="A2" s="8" t="s">
        <v>37</v>
      </c>
      <c r="B2" s="9"/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1"/>
      <c r="AU2" s="11"/>
      <c r="AV2" s="11"/>
      <c r="AW2" s="11"/>
      <c r="AX2" s="11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</row>
    <row r="3" customFormat="false" ht="15" hidden="false" customHeight="false" outlineLevel="0" collapsed="false">
      <c r="A3" s="13"/>
      <c r="B3" s="14"/>
      <c r="C3" s="14"/>
      <c r="D3" s="14"/>
      <c r="E3" s="14"/>
      <c r="F3" s="14"/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6"/>
      <c r="AU3" s="16"/>
      <c r="AV3" s="16"/>
      <c r="AW3" s="16"/>
      <c r="AX3" s="16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</row>
    <row r="4" s="1" customFormat="true" ht="15" hidden="false" customHeight="false" outlineLevel="0" collapsed="false">
      <c r="A4" s="32" t="s">
        <v>38</v>
      </c>
      <c r="B4" s="18" t="n">
        <f aca="false">((20848*2)*'Absolute values'!B5)/('Absolute values'!$B$27+'Absolute values'!$B$28)</f>
        <v>3086.95928080381</v>
      </c>
      <c r="C4" s="18" t="n">
        <f aca="false">((20848*2)*'Absolute values'!C5)/('Absolute values'!$B$27+'Absolute values'!$B$28)</f>
        <v>2866.46218931782</v>
      </c>
      <c r="D4" s="18" t="n">
        <f aca="false">((20848*2)*'Absolute values'!D5)/('Absolute values'!$B$27+'Absolute values'!$B$28)</f>
        <v>1763.97673188789</v>
      </c>
      <c r="E4" s="18" t="n">
        <f aca="false">((20848*2)*'Absolute values'!E5)/('Absolute values'!$B$27+'Absolute values'!$B$28)</f>
        <v>2866.46218931782</v>
      </c>
      <c r="F4" s="18" t="n">
        <f aca="false">((20848*2)*'Absolute values'!F5)/('Absolute values'!$B$27+'Absolute values'!$B$28)</f>
        <v>3086.95928080381</v>
      </c>
      <c r="G4" s="18" t="n">
        <f aca="false">((20848*2)*'Absolute values'!G5)/('Absolute values'!$B$27+'Absolute values'!$B$28)</f>
        <v>1543.4796404019</v>
      </c>
      <c r="H4" s="18" t="n">
        <f aca="false">((20848*2)*'Absolute values'!H5)/('Absolute values'!$B$27+'Absolute values'!$B$28)</f>
        <v>1102.48545742993</v>
      </c>
      <c r="I4" s="18" t="n">
        <f aca="false">((20848*2)*'Absolute values'!I5)/('Absolute values'!$B$27+'Absolute values'!$B$28)</f>
        <v>440.994182971973</v>
      </c>
      <c r="J4" s="18" t="n">
        <f aca="false">((20848*2)*'Absolute values'!J5)/('Absolute values'!$B$27+'Absolute values'!$B$28)</f>
        <v>0</v>
      </c>
      <c r="K4" s="18" t="n">
        <f aca="false">((20848*2)*'Absolute values'!K5)/('Absolute values'!$B$27+'Absolute values'!$B$28)</f>
        <v>0</v>
      </c>
      <c r="L4" s="18" t="n">
        <f aca="false">((20848*2)*'Absolute values'!L5)/('Absolute values'!$B$27+'Absolute values'!$B$28)</f>
        <v>220.497091485986</v>
      </c>
      <c r="M4" s="18" t="n">
        <f aca="false">((20848*2)*'Absolute values'!M5)/('Absolute values'!$B$27+'Absolute values'!$B$28)</f>
        <v>0</v>
      </c>
      <c r="N4" s="18" t="n">
        <f aca="false">((20848*2)*'Absolute values'!N5)/('Absolute values'!$B$27+'Absolute values'!$B$28)</f>
        <v>440.994182971973</v>
      </c>
      <c r="O4" s="18" t="n">
        <f aca="false">((20848*2)*'Absolute values'!O5)/('Absolute values'!$B$27+'Absolute values'!$B$28)</f>
        <v>0</v>
      </c>
      <c r="P4" s="18" t="n">
        <f aca="false">((20848*2)*'Absolute values'!P5)/('Absolute values'!$B$27+'Absolute values'!$B$28)</f>
        <v>0</v>
      </c>
      <c r="Q4" s="18" t="n">
        <f aca="false">((20848*2)*'Absolute values'!Q5)/('Absolute values'!$B$27+'Absolute values'!$B$28)</f>
        <v>0</v>
      </c>
      <c r="R4" s="18" t="n">
        <f aca="false">((20848*2)*'Absolute values'!R5)/('Absolute values'!$B$27+'Absolute values'!$B$28)</f>
        <v>0</v>
      </c>
      <c r="S4" s="18" t="n">
        <f aca="false">((20848*2)*'Absolute values'!S5)/('Absolute values'!$B$27+'Absolute values'!$B$28)</f>
        <v>0</v>
      </c>
      <c r="T4" s="18" t="n">
        <f aca="false">((20848*2)*'Absolute values'!T5)/('Absolute values'!$B$27+'Absolute values'!$B$28)</f>
        <v>0</v>
      </c>
      <c r="U4" s="18" t="n">
        <f aca="false">((20848*2)*'Absolute values'!U5)/('Absolute values'!$B$27+'Absolute values'!$B$28)</f>
        <v>220.497091485986</v>
      </c>
      <c r="V4" s="18" t="n">
        <f aca="false">((20848*2)*'Absolute values'!V5)/('Absolute values'!$B$27+'Absolute values'!$B$28)</f>
        <v>0</v>
      </c>
      <c r="W4" s="18" t="n">
        <f aca="false">((20848*2)*'Absolute values'!W5)/('Absolute values'!$B$27+'Absolute values'!$B$28)</f>
        <v>0</v>
      </c>
      <c r="X4" s="18" t="n">
        <f aca="false">((20848*2)*'Absolute values'!X5)/('Absolute values'!$B$27+'Absolute values'!$B$28)</f>
        <v>0</v>
      </c>
      <c r="Y4" s="18" t="n">
        <f aca="false">((20848*2)*'Absolute values'!Y5)/('Absolute values'!$B$27+'Absolute values'!$B$28)</f>
        <v>220.497091485986</v>
      </c>
      <c r="Z4" s="18" t="n">
        <f aca="false">((20848*2)*'Absolute values'!Z5)/('Absolute values'!$B$27+'Absolute values'!$B$28)</f>
        <v>220.497091485986</v>
      </c>
      <c r="AA4" s="18" t="n">
        <f aca="false">((20848*2)*'Absolute values'!AA5)/('Absolute values'!$B$27+'Absolute values'!$B$28)</f>
        <v>0</v>
      </c>
      <c r="AB4" s="18" t="n">
        <f aca="false">((20848*2)*'Absolute values'!AB5)/('Absolute values'!$B$27+'Absolute values'!$B$28)</f>
        <v>0</v>
      </c>
      <c r="AC4" s="18" t="n">
        <f aca="false">((20848*2)*'Absolute values'!AC5)/('Absolute values'!$B$27+'Absolute values'!$B$28)</f>
        <v>0</v>
      </c>
      <c r="AD4" s="18" t="n">
        <f aca="false">((20848*2)*'Absolute values'!AD5)/('Absolute values'!$B$27+'Absolute values'!$B$28)</f>
        <v>0</v>
      </c>
      <c r="AE4" s="18" t="n">
        <f aca="false">((20848*2)*'Absolute values'!AE5)/('Absolute values'!$B$27+'Absolute values'!$B$28)</f>
        <v>0</v>
      </c>
      <c r="AF4" s="18" t="n">
        <f aca="false">((20848*2)*'Absolute values'!AF5)/('Absolute values'!$B$27+'Absolute values'!$B$28)</f>
        <v>0</v>
      </c>
      <c r="AG4" s="18" t="n">
        <f aca="false">((20848*2)*'Absolute values'!AG5)/('Absolute values'!$B$27+'Absolute values'!$B$28)</f>
        <v>0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20"/>
      <c r="AU4" s="20"/>
      <c r="AV4" s="20"/>
      <c r="AW4" s="20"/>
      <c r="AX4" s="20"/>
    </row>
    <row r="5" s="1" customFormat="true" ht="15" hidden="false" customHeight="false" outlineLevel="0" collapsed="false">
      <c r="A5" s="32" t="s">
        <v>39</v>
      </c>
      <c r="B5" s="18" t="n">
        <f aca="false">((20848*2)*'Absolute values'!B6)/('Absolute values'!$B$27+'Absolute values'!$B$28)</f>
        <v>1102.48545742993</v>
      </c>
      <c r="C5" s="18" t="n">
        <f aca="false">((20848*2)*'Absolute values'!C6)/('Absolute values'!$B$27+'Absolute values'!$B$28)</f>
        <v>440.994182971973</v>
      </c>
      <c r="D5" s="18" t="n">
        <f aca="false">((20848*2)*'Absolute values'!D6)/('Absolute values'!$B$27+'Absolute values'!$B$28)</f>
        <v>661.491274457959</v>
      </c>
      <c r="E5" s="18" t="n">
        <f aca="false">((20848*2)*'Absolute values'!E6)/('Absolute values'!$B$27+'Absolute values'!$B$28)</f>
        <v>220.497091485986</v>
      </c>
      <c r="F5" s="18" t="n">
        <f aca="false">((20848*2)*'Absolute values'!F6)/('Absolute values'!$B$27+'Absolute values'!$B$28)</f>
        <v>0</v>
      </c>
      <c r="G5" s="18" t="n">
        <f aca="false">((20848*2)*'Absolute values'!G6)/('Absolute values'!$B$27+'Absolute values'!$B$28)</f>
        <v>220.497091485986</v>
      </c>
      <c r="H5" s="18" t="n">
        <f aca="false">((20848*2)*'Absolute values'!H6)/('Absolute values'!$B$27+'Absolute values'!$B$28)</f>
        <v>0</v>
      </c>
      <c r="I5" s="18" t="n">
        <f aca="false">((20848*2)*'Absolute values'!I6)/('Absolute values'!$B$27+'Absolute values'!$B$28)</f>
        <v>440.994182971973</v>
      </c>
      <c r="J5" s="18" t="n">
        <f aca="false">((20848*2)*'Absolute values'!J6)/('Absolute values'!$B$27+'Absolute values'!$B$28)</f>
        <v>0</v>
      </c>
      <c r="K5" s="18" t="n">
        <f aca="false">((20848*2)*'Absolute values'!K6)/('Absolute values'!$B$27+'Absolute values'!$B$28)</f>
        <v>0</v>
      </c>
      <c r="L5" s="18" t="n">
        <f aca="false">((20848*2)*'Absolute values'!L6)/('Absolute values'!$B$27+'Absolute values'!$B$28)</f>
        <v>220.497091485986</v>
      </c>
      <c r="M5" s="18" t="n">
        <f aca="false">((20848*2)*'Absolute values'!M6)/('Absolute values'!$B$27+'Absolute values'!$B$28)</f>
        <v>0</v>
      </c>
      <c r="N5" s="18" t="n">
        <f aca="false">((20848*2)*'Absolute values'!N6)/('Absolute values'!$B$27+'Absolute values'!$B$28)</f>
        <v>0</v>
      </c>
      <c r="O5" s="18" t="n">
        <f aca="false">((20848*2)*'Absolute values'!O6)/('Absolute values'!$B$27+'Absolute values'!$B$28)</f>
        <v>0</v>
      </c>
      <c r="P5" s="18" t="n">
        <f aca="false">((20848*2)*'Absolute values'!P6)/('Absolute values'!$B$27+'Absolute values'!$B$28)</f>
        <v>220.497091485986</v>
      </c>
      <c r="Q5" s="18" t="n">
        <f aca="false">((20848*2)*'Absolute values'!Q6)/('Absolute values'!$B$27+'Absolute values'!$B$28)</f>
        <v>0</v>
      </c>
      <c r="R5" s="18" t="n">
        <f aca="false">((20848*2)*'Absolute values'!R6)/('Absolute values'!$B$27+'Absolute values'!$B$28)</f>
        <v>0</v>
      </c>
      <c r="S5" s="18" t="n">
        <f aca="false">((20848*2)*'Absolute values'!S6)/('Absolute values'!$B$27+'Absolute values'!$B$28)</f>
        <v>0</v>
      </c>
      <c r="T5" s="18" t="n">
        <f aca="false">((20848*2)*'Absolute values'!T6)/('Absolute values'!$B$27+'Absolute values'!$B$28)</f>
        <v>220.497091485986</v>
      </c>
      <c r="U5" s="18" t="n">
        <f aca="false">((20848*2)*'Absolute values'!U6)/('Absolute values'!$B$27+'Absolute values'!$B$28)</f>
        <v>0</v>
      </c>
      <c r="V5" s="18" t="n">
        <f aca="false">((20848*2)*'Absolute values'!V6)/('Absolute values'!$B$27+'Absolute values'!$B$28)</f>
        <v>0</v>
      </c>
      <c r="W5" s="18" t="n">
        <f aca="false">((20848*2)*'Absolute values'!W6)/('Absolute values'!$B$27+'Absolute values'!$B$28)</f>
        <v>0</v>
      </c>
      <c r="X5" s="18" t="n">
        <f aca="false">((20848*2)*'Absolute values'!X6)/('Absolute values'!$B$27+'Absolute values'!$B$28)</f>
        <v>0</v>
      </c>
      <c r="Y5" s="18" t="n">
        <f aca="false">((20848*2)*'Absolute values'!Y6)/('Absolute values'!$B$27+'Absolute values'!$B$28)</f>
        <v>220.497091485986</v>
      </c>
      <c r="Z5" s="18" t="n">
        <f aca="false">((20848*2)*'Absolute values'!Z6)/('Absolute values'!$B$27+'Absolute values'!$B$28)</f>
        <v>0</v>
      </c>
      <c r="AA5" s="18" t="n">
        <f aca="false">((20848*2)*'Absolute values'!AA6)/('Absolute values'!$B$27+'Absolute values'!$B$28)</f>
        <v>0</v>
      </c>
      <c r="AB5" s="18" t="n">
        <f aca="false">((20848*2)*'Absolute values'!AB6)/('Absolute values'!$B$27+'Absolute values'!$B$28)</f>
        <v>0</v>
      </c>
      <c r="AC5" s="18" t="n">
        <f aca="false">((20848*2)*'Absolute values'!AC6)/('Absolute values'!$B$27+'Absolute values'!$B$28)</f>
        <v>0</v>
      </c>
      <c r="AD5" s="18" t="n">
        <f aca="false">((20848*2)*'Absolute values'!AD6)/('Absolute values'!$B$27+'Absolute values'!$B$28)</f>
        <v>0</v>
      </c>
      <c r="AE5" s="18" t="n">
        <f aca="false">((20848*2)*'Absolute values'!AE6)/('Absolute values'!$B$27+'Absolute values'!$B$28)</f>
        <v>0</v>
      </c>
      <c r="AF5" s="18" t="n">
        <f aca="false">((20848*2)*'Absolute values'!AF6)/('Absolute values'!$B$27+'Absolute values'!$B$28)</f>
        <v>0</v>
      </c>
      <c r="AG5" s="18" t="n">
        <f aca="false">((20848*2)*'Absolute values'!AG6)/('Absolute values'!$B$27+'Absolute values'!$B$28)</f>
        <v>0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20"/>
      <c r="AU5" s="20"/>
      <c r="AV5" s="20"/>
      <c r="AW5" s="20"/>
      <c r="AX5" s="20"/>
    </row>
    <row r="6" s="1" customFormat="true" ht="15" hidden="false" customHeight="false" outlineLevel="0" collapsed="false">
      <c r="A6" s="32" t="s">
        <v>40</v>
      </c>
      <c r="B6" s="18" t="n">
        <f aca="false">((20848*2)*'Absolute values'!B7)/('Absolute values'!$B$27+'Absolute values'!$B$28)</f>
        <v>9701.87202538339</v>
      </c>
      <c r="C6" s="18" t="n">
        <f aca="false">((20848*2)*'Absolute values'!C7)/('Absolute values'!$B$27+'Absolute values'!$B$28)</f>
        <v>7496.90111052353</v>
      </c>
      <c r="D6" s="18" t="n">
        <f aca="false">((20848*2)*'Absolute values'!D7)/('Absolute values'!$B$27+'Absolute values'!$B$28)</f>
        <v>10142.8662083554</v>
      </c>
      <c r="E6" s="18" t="n">
        <f aca="false">((20848*2)*'Absolute values'!E7)/('Absolute values'!$B$27+'Absolute values'!$B$28)</f>
        <v>8599.38656795347</v>
      </c>
      <c r="F6" s="18" t="n">
        <f aca="false">((20848*2)*'Absolute values'!F7)/('Absolute values'!$B$27+'Absolute values'!$B$28)</f>
        <v>7496.90111052353</v>
      </c>
      <c r="G6" s="18" t="n">
        <f aca="false">((20848*2)*'Absolute values'!G7)/('Absolute values'!$B$27+'Absolute values'!$B$28)</f>
        <v>12347.8371232152</v>
      </c>
      <c r="H6" s="18" t="n">
        <f aca="false">((20848*2)*'Absolute values'!H7)/('Absolute values'!$B$27+'Absolute values'!$B$28)</f>
        <v>2866.46218931782</v>
      </c>
      <c r="I6" s="18" t="n">
        <f aca="false">((20848*2)*'Absolute values'!I7)/('Absolute values'!$B$27+'Absolute values'!$B$28)</f>
        <v>3748.45055526177</v>
      </c>
      <c r="J6" s="18" t="n">
        <f aca="false">((20848*2)*'Absolute values'!J7)/('Absolute values'!$B$27+'Absolute values'!$B$28)</f>
        <v>1543.4796404019</v>
      </c>
      <c r="K6" s="18" t="n">
        <f aca="false">((20848*2)*'Absolute values'!K7)/('Absolute values'!$B$27+'Absolute values'!$B$28)</f>
        <v>2425.46800634585</v>
      </c>
      <c r="L6" s="18" t="n">
        <f aca="false">((20848*2)*'Absolute values'!L7)/('Absolute values'!$B$27+'Absolute values'!$B$28)</f>
        <v>1543.4796404019</v>
      </c>
      <c r="M6" s="18" t="n">
        <f aca="false">((20848*2)*'Absolute values'!M7)/('Absolute values'!$B$27+'Absolute values'!$B$28)</f>
        <v>661.491274457959</v>
      </c>
      <c r="N6" s="18" t="n">
        <f aca="false">((20848*2)*'Absolute values'!N7)/('Absolute values'!$B$27+'Absolute values'!$B$28)</f>
        <v>661.491274457959</v>
      </c>
      <c r="O6" s="18" t="n">
        <f aca="false">((20848*2)*'Absolute values'!O7)/('Absolute values'!$B$27+'Absolute values'!$B$28)</f>
        <v>661.491274457959</v>
      </c>
      <c r="P6" s="18" t="n">
        <f aca="false">((20848*2)*'Absolute values'!P7)/('Absolute values'!$B$27+'Absolute values'!$B$28)</f>
        <v>661.491274457959</v>
      </c>
      <c r="Q6" s="18" t="n">
        <f aca="false">((20848*2)*'Absolute values'!Q7)/('Absolute values'!$B$27+'Absolute values'!$B$28)</f>
        <v>0</v>
      </c>
      <c r="R6" s="18" t="n">
        <f aca="false">((20848*2)*'Absolute values'!R7)/('Absolute values'!$B$27+'Absolute values'!$B$28)</f>
        <v>0</v>
      </c>
      <c r="S6" s="18" t="n">
        <f aca="false">((20848*2)*'Absolute values'!S7)/('Absolute values'!$B$27+'Absolute values'!$B$28)</f>
        <v>220.497091485986</v>
      </c>
      <c r="T6" s="18" t="n">
        <f aca="false">((20848*2)*'Absolute values'!T7)/('Absolute values'!$B$27+'Absolute values'!$B$28)</f>
        <v>440.994182971973</v>
      </c>
      <c r="U6" s="18" t="n">
        <f aca="false">((20848*2)*'Absolute values'!U7)/('Absolute values'!$B$27+'Absolute values'!$B$28)</f>
        <v>661.491274457959</v>
      </c>
      <c r="V6" s="18" t="n">
        <f aca="false">((20848*2)*'Absolute values'!V7)/('Absolute values'!$B$27+'Absolute values'!$B$28)</f>
        <v>661.491274457959</v>
      </c>
      <c r="W6" s="18" t="n">
        <f aca="false">((20848*2)*'Absolute values'!W7)/('Absolute values'!$B$27+'Absolute values'!$B$28)</f>
        <v>440.994182971973</v>
      </c>
      <c r="X6" s="18" t="n">
        <f aca="false">((20848*2)*'Absolute values'!X7)/('Absolute values'!$B$27+'Absolute values'!$B$28)</f>
        <v>0</v>
      </c>
      <c r="Y6" s="18" t="n">
        <f aca="false">((20848*2)*'Absolute values'!Y7)/('Absolute values'!$B$27+'Absolute values'!$B$28)</f>
        <v>661.491274457959</v>
      </c>
      <c r="Z6" s="18" t="n">
        <f aca="false">((20848*2)*'Absolute values'!Z7)/('Absolute values'!$B$27+'Absolute values'!$B$28)</f>
        <v>440.994182971973</v>
      </c>
      <c r="AA6" s="18" t="n">
        <f aca="false">((20848*2)*'Absolute values'!AA7)/('Absolute values'!$B$27+'Absolute values'!$B$28)</f>
        <v>1102.48545742993</v>
      </c>
      <c r="AB6" s="18" t="n">
        <f aca="false">((20848*2)*'Absolute values'!AB7)/('Absolute values'!$B$27+'Absolute values'!$B$28)</f>
        <v>1102.48545742993</v>
      </c>
      <c r="AC6" s="18" t="n">
        <f aca="false">((20848*2)*'Absolute values'!AC7)/('Absolute values'!$B$27+'Absolute values'!$B$28)</f>
        <v>440.994182971973</v>
      </c>
      <c r="AD6" s="18" t="n">
        <f aca="false">((20848*2)*'Absolute values'!AD7)/('Absolute values'!$B$27+'Absolute values'!$B$28)</f>
        <v>0</v>
      </c>
      <c r="AE6" s="18" t="n">
        <f aca="false">((20848*2)*'Absolute values'!AE7)/('Absolute values'!$B$27+'Absolute values'!$B$28)</f>
        <v>0</v>
      </c>
      <c r="AF6" s="18" t="n">
        <f aca="false">((20848*2)*'Absolute values'!AF7)/('Absolute values'!$B$27+'Absolute values'!$B$28)</f>
        <v>0</v>
      </c>
      <c r="AG6" s="18" t="n">
        <f aca="false">((20848*2)*'Absolute values'!AG7)/('Absolute values'!$B$27+'Absolute values'!$B$28)</f>
        <v>440.994182971973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20"/>
      <c r="AU6" s="20"/>
      <c r="AV6" s="20"/>
      <c r="AW6" s="20"/>
      <c r="AX6" s="20"/>
    </row>
    <row r="7" s="1" customFormat="true" ht="15" hidden="false" customHeight="false" outlineLevel="0" collapsed="false">
      <c r="A7" s="17" t="s">
        <v>41</v>
      </c>
      <c r="B7" s="18" t="n">
        <f aca="false">((20848*2)*'Absolute values'!B8)/('Absolute values'!$B$27+'Absolute values'!$B$28)</f>
        <v>220.497091485986</v>
      </c>
      <c r="C7" s="18" t="n">
        <f aca="false">((20848*2)*'Absolute values'!C8)/('Absolute values'!$B$27+'Absolute values'!$B$28)</f>
        <v>220.497091485986</v>
      </c>
      <c r="D7" s="18" t="n">
        <f aca="false">((20848*2)*'Absolute values'!D8)/('Absolute values'!$B$27+'Absolute values'!$B$28)</f>
        <v>0</v>
      </c>
      <c r="E7" s="18" t="n">
        <f aca="false">((20848*2)*'Absolute values'!E8)/('Absolute values'!$B$27+'Absolute values'!$B$28)</f>
        <v>220.497091485986</v>
      </c>
      <c r="F7" s="18" t="n">
        <f aca="false">((20848*2)*'Absolute values'!F8)/('Absolute values'!$B$27+'Absolute values'!$B$28)</f>
        <v>220.497091485986</v>
      </c>
      <c r="G7" s="18" t="n">
        <f aca="false">((20848*2)*'Absolute values'!G8)/('Absolute values'!$B$27+'Absolute values'!$B$28)</f>
        <v>220.497091485986</v>
      </c>
      <c r="H7" s="18" t="n">
        <f aca="false">((20848*2)*'Absolute values'!H8)/('Absolute values'!$B$27+'Absolute values'!$B$28)</f>
        <v>440.994182971973</v>
      </c>
      <c r="I7" s="18" t="n">
        <f aca="false">((20848*2)*'Absolute values'!I8)/('Absolute values'!$B$27+'Absolute values'!$B$28)</f>
        <v>0</v>
      </c>
      <c r="J7" s="18" t="n">
        <f aca="false">((20848*2)*'Absolute values'!J8)/('Absolute values'!$B$27+'Absolute values'!$B$28)</f>
        <v>0</v>
      </c>
      <c r="K7" s="18" t="n">
        <f aca="false">((20848*2)*'Absolute values'!K8)/('Absolute values'!$B$27+'Absolute values'!$B$28)</f>
        <v>0</v>
      </c>
      <c r="L7" s="18" t="n">
        <f aca="false">((20848*2)*'Absolute values'!L8)/('Absolute values'!$B$27+'Absolute values'!$B$28)</f>
        <v>0</v>
      </c>
      <c r="M7" s="18" t="n">
        <f aca="false">((20848*2)*'Absolute values'!M8)/('Absolute values'!$B$27+'Absolute values'!$B$28)</f>
        <v>0</v>
      </c>
      <c r="N7" s="18" t="n">
        <f aca="false">((20848*2)*'Absolute values'!N8)/('Absolute values'!$B$27+'Absolute values'!$B$28)</f>
        <v>0</v>
      </c>
      <c r="O7" s="18" t="n">
        <f aca="false">((20848*2)*'Absolute values'!O8)/('Absolute values'!$B$27+'Absolute values'!$B$28)</f>
        <v>0</v>
      </c>
      <c r="P7" s="18" t="n">
        <f aca="false">((20848*2)*'Absolute values'!P8)/('Absolute values'!$B$27+'Absolute values'!$B$28)</f>
        <v>0</v>
      </c>
      <c r="Q7" s="18" t="n">
        <f aca="false">((20848*2)*'Absolute values'!Q8)/('Absolute values'!$B$27+'Absolute values'!$B$28)</f>
        <v>220.497091485986</v>
      </c>
      <c r="R7" s="18" t="n">
        <f aca="false">((20848*2)*'Absolute values'!R8)/('Absolute values'!$B$27+'Absolute values'!$B$28)</f>
        <v>0</v>
      </c>
      <c r="S7" s="18" t="n">
        <f aca="false">((20848*2)*'Absolute values'!S8)/('Absolute values'!$B$27+'Absolute values'!$B$28)</f>
        <v>0</v>
      </c>
      <c r="T7" s="18" t="n">
        <f aca="false">((20848*2)*'Absolute values'!T8)/('Absolute values'!$B$27+'Absolute values'!$B$28)</f>
        <v>220.497091485986</v>
      </c>
      <c r="U7" s="18" t="n">
        <f aca="false">((20848*2)*'Absolute values'!U8)/('Absolute values'!$B$27+'Absolute values'!$B$28)</f>
        <v>0</v>
      </c>
      <c r="V7" s="18" t="n">
        <f aca="false">((20848*2)*'Absolute values'!V8)/('Absolute values'!$B$27+'Absolute values'!$B$28)</f>
        <v>0</v>
      </c>
      <c r="W7" s="18" t="n">
        <f aca="false">((20848*2)*'Absolute values'!W8)/('Absolute values'!$B$27+'Absolute values'!$B$28)</f>
        <v>0</v>
      </c>
      <c r="X7" s="18" t="n">
        <f aca="false">((20848*2)*'Absolute values'!X8)/('Absolute values'!$B$27+'Absolute values'!$B$28)</f>
        <v>0</v>
      </c>
      <c r="Y7" s="18" t="n">
        <f aca="false">((20848*2)*'Absolute values'!Y8)/('Absolute values'!$B$27+'Absolute values'!$B$28)</f>
        <v>0</v>
      </c>
      <c r="Z7" s="18" t="n">
        <f aca="false">((20848*2)*'Absolute values'!Z8)/('Absolute values'!$B$27+'Absolute values'!$B$28)</f>
        <v>0</v>
      </c>
      <c r="AA7" s="18" t="n">
        <f aca="false">((20848*2)*'Absolute values'!AA8)/('Absolute values'!$B$27+'Absolute values'!$B$28)</f>
        <v>440.994182971973</v>
      </c>
      <c r="AB7" s="18" t="n">
        <f aca="false">((20848*2)*'Absolute values'!AB8)/('Absolute values'!$B$27+'Absolute values'!$B$28)</f>
        <v>661.491274457959</v>
      </c>
      <c r="AC7" s="18" t="n">
        <f aca="false">((20848*2)*'Absolute values'!AC8)/('Absolute values'!$B$27+'Absolute values'!$B$28)</f>
        <v>0</v>
      </c>
      <c r="AD7" s="18" t="n">
        <f aca="false">((20848*2)*'Absolute values'!AD8)/('Absolute values'!$B$27+'Absolute values'!$B$28)</f>
        <v>0</v>
      </c>
      <c r="AE7" s="18" t="n">
        <f aca="false">((20848*2)*'Absolute values'!AE8)/('Absolute values'!$B$27+'Absolute values'!$B$28)</f>
        <v>0</v>
      </c>
      <c r="AF7" s="18" t="n">
        <f aca="false">((20848*2)*'Absolute values'!AF8)/('Absolute values'!$B$27+'Absolute values'!$B$28)</f>
        <v>0</v>
      </c>
      <c r="AG7" s="18" t="n">
        <f aca="false">((20848*2)*'Absolute values'!AG8)/('Absolute values'!$B$27+'Absolute values'!$B$28)</f>
        <v>0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2"/>
      <c r="AU7" s="22"/>
      <c r="AV7" s="22"/>
      <c r="AW7" s="22"/>
      <c r="AX7" s="22"/>
    </row>
    <row r="8" s="7" customFormat="true" ht="15" hidden="false" customHeight="false" outlineLevel="0" collapsed="false">
      <c r="A8" s="33" t="s">
        <v>42</v>
      </c>
      <c r="B8" s="18" t="n">
        <f aca="false">((20848*2)*'Absolute values'!B9)/('Absolute values'!$B$27+'Absolute values'!$B$28)</f>
        <v>220.497091485986</v>
      </c>
      <c r="C8" s="18" t="n">
        <f aca="false">((20848*2)*'Absolute values'!C9)/('Absolute values'!$B$27+'Absolute values'!$B$28)</f>
        <v>661.491274457959</v>
      </c>
      <c r="D8" s="18" t="n">
        <f aca="false">((20848*2)*'Absolute values'!D9)/('Absolute values'!$B$27+'Absolute values'!$B$28)</f>
        <v>220.497091485986</v>
      </c>
      <c r="E8" s="18" t="n">
        <f aca="false">((20848*2)*'Absolute values'!E9)/('Absolute values'!$B$27+'Absolute values'!$B$28)</f>
        <v>220.497091485986</v>
      </c>
      <c r="F8" s="18" t="n">
        <f aca="false">((20848*2)*'Absolute values'!F9)/('Absolute values'!$B$27+'Absolute values'!$B$28)</f>
        <v>220.497091485986</v>
      </c>
      <c r="G8" s="18" t="n">
        <f aca="false">((20848*2)*'Absolute values'!G9)/('Absolute values'!$B$27+'Absolute values'!$B$28)</f>
        <v>0</v>
      </c>
      <c r="H8" s="18" t="n">
        <f aca="false">((20848*2)*'Absolute values'!H9)/('Absolute values'!$B$27+'Absolute values'!$B$28)</f>
        <v>0</v>
      </c>
      <c r="I8" s="18" t="n">
        <f aca="false">((20848*2)*'Absolute values'!I9)/('Absolute values'!$B$27+'Absolute values'!$B$28)</f>
        <v>0</v>
      </c>
      <c r="J8" s="18" t="n">
        <f aca="false">((20848*2)*'Absolute values'!J9)/('Absolute values'!$B$27+'Absolute values'!$B$28)</f>
        <v>0</v>
      </c>
      <c r="K8" s="18" t="n">
        <f aca="false">((20848*2)*'Absolute values'!K9)/('Absolute values'!$B$27+'Absolute values'!$B$28)</f>
        <v>0</v>
      </c>
      <c r="L8" s="18" t="n">
        <f aca="false">((20848*2)*'Absolute values'!L9)/('Absolute values'!$B$27+'Absolute values'!$B$28)</f>
        <v>0</v>
      </c>
      <c r="M8" s="18" t="n">
        <f aca="false">((20848*2)*'Absolute values'!M9)/('Absolute values'!$B$27+'Absolute values'!$B$28)</f>
        <v>0</v>
      </c>
      <c r="N8" s="18" t="n">
        <f aca="false">((20848*2)*'Absolute values'!N9)/('Absolute values'!$B$27+'Absolute values'!$B$28)</f>
        <v>0</v>
      </c>
      <c r="O8" s="18" t="n">
        <f aca="false">((20848*2)*'Absolute values'!O9)/('Absolute values'!$B$27+'Absolute values'!$B$28)</f>
        <v>0</v>
      </c>
      <c r="P8" s="18" t="n">
        <f aca="false">((20848*2)*'Absolute values'!P9)/('Absolute values'!$B$27+'Absolute values'!$B$28)</f>
        <v>0</v>
      </c>
      <c r="Q8" s="18" t="n">
        <f aca="false">((20848*2)*'Absolute values'!Q9)/('Absolute values'!$B$27+'Absolute values'!$B$28)</f>
        <v>0</v>
      </c>
      <c r="R8" s="18" t="n">
        <f aca="false">((20848*2)*'Absolute values'!R9)/('Absolute values'!$B$27+'Absolute values'!$B$28)</f>
        <v>0</v>
      </c>
      <c r="S8" s="18" t="n">
        <f aca="false">((20848*2)*'Absolute values'!S9)/('Absolute values'!$B$27+'Absolute values'!$B$28)</f>
        <v>0</v>
      </c>
      <c r="T8" s="18" t="n">
        <f aca="false">((20848*2)*'Absolute values'!T9)/('Absolute values'!$B$27+'Absolute values'!$B$28)</f>
        <v>0</v>
      </c>
      <c r="U8" s="18" t="n">
        <f aca="false">((20848*2)*'Absolute values'!U9)/('Absolute values'!$B$27+'Absolute values'!$B$28)</f>
        <v>0</v>
      </c>
      <c r="V8" s="18" t="n">
        <f aca="false">((20848*2)*'Absolute values'!V9)/('Absolute values'!$B$27+'Absolute values'!$B$28)</f>
        <v>0</v>
      </c>
      <c r="W8" s="18" t="n">
        <f aca="false">((20848*2)*'Absolute values'!W9)/('Absolute values'!$B$27+'Absolute values'!$B$28)</f>
        <v>0</v>
      </c>
      <c r="X8" s="18" t="n">
        <f aca="false">((20848*2)*'Absolute values'!X9)/('Absolute values'!$B$27+'Absolute values'!$B$28)</f>
        <v>0</v>
      </c>
      <c r="Y8" s="18" t="n">
        <f aca="false">((20848*2)*'Absolute values'!Y9)/('Absolute values'!$B$27+'Absolute values'!$B$28)</f>
        <v>0</v>
      </c>
      <c r="Z8" s="18" t="n">
        <f aca="false">((20848*2)*'Absolute values'!Z9)/('Absolute values'!$B$27+'Absolute values'!$B$28)</f>
        <v>0</v>
      </c>
      <c r="AA8" s="18" t="n">
        <f aca="false">((20848*2)*'Absolute values'!AA9)/('Absolute values'!$B$27+'Absolute values'!$B$28)</f>
        <v>0</v>
      </c>
      <c r="AB8" s="18" t="n">
        <f aca="false">((20848*2)*'Absolute values'!AB9)/('Absolute values'!$B$27+'Absolute values'!$B$28)</f>
        <v>0</v>
      </c>
      <c r="AC8" s="18" t="n">
        <f aca="false">((20848*2)*'Absolute values'!AC9)/('Absolute values'!$B$27+'Absolute values'!$B$28)</f>
        <v>0</v>
      </c>
      <c r="AD8" s="18" t="n">
        <f aca="false">((20848*2)*'Absolute values'!AD9)/('Absolute values'!$B$27+'Absolute values'!$B$28)</f>
        <v>0</v>
      </c>
      <c r="AE8" s="18" t="n">
        <f aca="false">((20848*2)*'Absolute values'!AE9)/('Absolute values'!$B$27+'Absolute values'!$B$28)</f>
        <v>0</v>
      </c>
      <c r="AF8" s="18" t="n">
        <f aca="false">((20848*2)*'Absolute values'!AF9)/('Absolute values'!$B$27+'Absolute values'!$B$28)</f>
        <v>0</v>
      </c>
      <c r="AG8" s="18" t="n">
        <f aca="false">((20848*2)*'Absolute values'!AG9)/('Absolute values'!$B$27+'Absolute values'!$B$28)</f>
        <v>0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3"/>
      <c r="AU8" s="23"/>
      <c r="AV8" s="23"/>
      <c r="AW8" s="23"/>
      <c r="AX8" s="23"/>
    </row>
    <row r="9" s="7" customFormat="true" ht="15" hidden="false" customHeight="false" outlineLevel="0" collapsed="false">
      <c r="A9" s="33" t="s">
        <v>43</v>
      </c>
      <c r="B9" s="18" t="n">
        <f aca="false">((20848*2)*'Absolute values'!B10)/('Absolute values'!$B$27+'Absolute values'!$B$28)</f>
        <v>220.497091485986</v>
      </c>
      <c r="C9" s="18" t="n">
        <f aca="false">((20848*2)*'Absolute values'!C10)/('Absolute values'!$B$27+'Absolute values'!$B$28)</f>
        <v>440.994182971973</v>
      </c>
      <c r="D9" s="18" t="n">
        <f aca="false">((20848*2)*'Absolute values'!D10)/('Absolute values'!$B$27+'Absolute values'!$B$28)</f>
        <v>0</v>
      </c>
      <c r="E9" s="18" t="n">
        <f aca="false">((20848*2)*'Absolute values'!E10)/('Absolute values'!$B$27+'Absolute values'!$B$28)</f>
        <v>0</v>
      </c>
      <c r="F9" s="18" t="n">
        <f aca="false">((20848*2)*'Absolute values'!F10)/('Absolute values'!$B$27+'Absolute values'!$B$28)</f>
        <v>0</v>
      </c>
      <c r="G9" s="18" t="n">
        <f aca="false">((20848*2)*'Absolute values'!G10)/('Absolute values'!$B$27+'Absolute values'!$B$28)</f>
        <v>0</v>
      </c>
      <c r="H9" s="18" t="n">
        <f aca="false">((20848*2)*'Absolute values'!H10)/('Absolute values'!$B$27+'Absolute values'!$B$28)</f>
        <v>0</v>
      </c>
      <c r="I9" s="18" t="n">
        <f aca="false">((20848*2)*'Absolute values'!I10)/('Absolute values'!$B$27+'Absolute values'!$B$28)</f>
        <v>0</v>
      </c>
      <c r="J9" s="18" t="n">
        <f aca="false">((20848*2)*'Absolute values'!J10)/('Absolute values'!$B$27+'Absolute values'!$B$28)</f>
        <v>0</v>
      </c>
      <c r="K9" s="18" t="n">
        <f aca="false">((20848*2)*'Absolute values'!K10)/('Absolute values'!$B$27+'Absolute values'!$B$28)</f>
        <v>0</v>
      </c>
      <c r="L9" s="18" t="n">
        <f aca="false">((20848*2)*'Absolute values'!L10)/('Absolute values'!$B$27+'Absolute values'!$B$28)</f>
        <v>0</v>
      </c>
      <c r="M9" s="18" t="n">
        <f aca="false">((20848*2)*'Absolute values'!M10)/('Absolute values'!$B$27+'Absolute values'!$B$28)</f>
        <v>0</v>
      </c>
      <c r="N9" s="18" t="n">
        <f aca="false">((20848*2)*'Absolute values'!N10)/('Absolute values'!$B$27+'Absolute values'!$B$28)</f>
        <v>0</v>
      </c>
      <c r="O9" s="18" t="n">
        <f aca="false">((20848*2)*'Absolute values'!O10)/('Absolute values'!$B$27+'Absolute values'!$B$28)</f>
        <v>0</v>
      </c>
      <c r="P9" s="18" t="n">
        <f aca="false">((20848*2)*'Absolute values'!P10)/('Absolute values'!$B$27+'Absolute values'!$B$28)</f>
        <v>0</v>
      </c>
      <c r="Q9" s="18" t="n">
        <f aca="false">((20848*2)*'Absolute values'!Q10)/('Absolute values'!$B$27+'Absolute values'!$B$28)</f>
        <v>0</v>
      </c>
      <c r="R9" s="18" t="n">
        <f aca="false">((20848*2)*'Absolute values'!R10)/('Absolute values'!$B$27+'Absolute values'!$B$28)</f>
        <v>0</v>
      </c>
      <c r="S9" s="18" t="n">
        <f aca="false">((20848*2)*'Absolute values'!S10)/('Absolute values'!$B$27+'Absolute values'!$B$28)</f>
        <v>0</v>
      </c>
      <c r="T9" s="18" t="n">
        <f aca="false">((20848*2)*'Absolute values'!T10)/('Absolute values'!$B$27+'Absolute values'!$B$28)</f>
        <v>0</v>
      </c>
      <c r="U9" s="18" t="n">
        <f aca="false">((20848*2)*'Absolute values'!U10)/('Absolute values'!$B$27+'Absolute values'!$B$28)</f>
        <v>0</v>
      </c>
      <c r="V9" s="18" t="n">
        <f aca="false">((20848*2)*'Absolute values'!V10)/('Absolute values'!$B$27+'Absolute values'!$B$28)</f>
        <v>0</v>
      </c>
      <c r="W9" s="18" t="n">
        <f aca="false">((20848*2)*'Absolute values'!W10)/('Absolute values'!$B$27+'Absolute values'!$B$28)</f>
        <v>0</v>
      </c>
      <c r="X9" s="18" t="n">
        <f aca="false">((20848*2)*'Absolute values'!X10)/('Absolute values'!$B$27+'Absolute values'!$B$28)</f>
        <v>0</v>
      </c>
      <c r="Y9" s="18" t="n">
        <f aca="false">((20848*2)*'Absolute values'!Y10)/('Absolute values'!$B$27+'Absolute values'!$B$28)</f>
        <v>0</v>
      </c>
      <c r="Z9" s="18" t="n">
        <f aca="false">((20848*2)*'Absolute values'!Z10)/('Absolute values'!$B$27+'Absolute values'!$B$28)</f>
        <v>0</v>
      </c>
      <c r="AA9" s="18" t="n">
        <f aca="false">((20848*2)*'Absolute values'!AA10)/('Absolute values'!$B$27+'Absolute values'!$B$28)</f>
        <v>0</v>
      </c>
      <c r="AB9" s="18" t="n">
        <f aca="false">((20848*2)*'Absolute values'!AB10)/('Absolute values'!$B$27+'Absolute values'!$B$28)</f>
        <v>0</v>
      </c>
      <c r="AC9" s="18" t="n">
        <f aca="false">((20848*2)*'Absolute values'!AC10)/('Absolute values'!$B$27+'Absolute values'!$B$28)</f>
        <v>0</v>
      </c>
      <c r="AD9" s="18" t="n">
        <f aca="false">((20848*2)*'Absolute values'!AD10)/('Absolute values'!$B$27+'Absolute values'!$B$28)</f>
        <v>0</v>
      </c>
      <c r="AE9" s="18" t="n">
        <f aca="false">((20848*2)*'Absolute values'!AE10)/('Absolute values'!$B$27+'Absolute values'!$B$28)</f>
        <v>0</v>
      </c>
      <c r="AF9" s="18" t="n">
        <f aca="false">((20848*2)*'Absolute values'!AF10)/('Absolute values'!$B$27+'Absolute values'!$B$28)</f>
        <v>0</v>
      </c>
      <c r="AG9" s="18" t="n">
        <f aca="false">((20848*2)*'Absolute values'!AG10)/('Absolute values'!$B$27+'Absolute values'!$B$28)</f>
        <v>0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3"/>
      <c r="AU9" s="23"/>
      <c r="AV9" s="23"/>
      <c r="AW9" s="23"/>
      <c r="AX9" s="23"/>
    </row>
    <row r="10" s="7" customFormat="true" ht="15" hidden="false" customHeight="false" outlineLevel="0" collapsed="false">
      <c r="A10" s="33" t="s">
        <v>44</v>
      </c>
      <c r="B10" s="18" t="n">
        <f aca="false">((20848*2)*'Absolute values'!B11)/('Absolute values'!$B$27+'Absolute values'!$B$28)</f>
        <v>220.497091485986</v>
      </c>
      <c r="C10" s="18" t="n">
        <f aca="false">((20848*2)*'Absolute values'!C11)/('Absolute values'!$B$27+'Absolute values'!$B$28)</f>
        <v>0</v>
      </c>
      <c r="D10" s="18" t="n">
        <f aca="false">((20848*2)*'Absolute values'!D11)/('Absolute values'!$B$27+'Absolute values'!$B$28)</f>
        <v>0</v>
      </c>
      <c r="E10" s="18" t="n">
        <f aca="false">((20848*2)*'Absolute values'!E11)/('Absolute values'!$B$27+'Absolute values'!$B$28)</f>
        <v>0</v>
      </c>
      <c r="F10" s="18" t="n">
        <f aca="false">((20848*2)*'Absolute values'!F11)/('Absolute values'!$B$27+'Absolute values'!$B$28)</f>
        <v>0</v>
      </c>
      <c r="G10" s="18" t="n">
        <f aca="false">((20848*2)*'Absolute values'!G11)/('Absolute values'!$B$27+'Absolute values'!$B$28)</f>
        <v>0</v>
      </c>
      <c r="H10" s="18" t="n">
        <f aca="false">((20848*2)*'Absolute values'!H11)/('Absolute values'!$B$27+'Absolute values'!$B$28)</f>
        <v>0</v>
      </c>
      <c r="I10" s="18" t="n">
        <f aca="false">((20848*2)*'Absolute values'!I11)/('Absolute values'!$B$27+'Absolute values'!$B$28)</f>
        <v>0</v>
      </c>
      <c r="J10" s="18" t="n">
        <f aca="false">((20848*2)*'Absolute values'!J11)/('Absolute values'!$B$27+'Absolute values'!$B$28)</f>
        <v>0</v>
      </c>
      <c r="K10" s="18" t="n">
        <f aca="false">((20848*2)*'Absolute values'!K11)/('Absolute values'!$B$27+'Absolute values'!$B$28)</f>
        <v>0</v>
      </c>
      <c r="L10" s="18" t="n">
        <f aca="false">((20848*2)*'Absolute values'!L11)/('Absolute values'!$B$27+'Absolute values'!$B$28)</f>
        <v>0</v>
      </c>
      <c r="M10" s="18" t="n">
        <f aca="false">((20848*2)*'Absolute values'!M11)/('Absolute values'!$B$27+'Absolute values'!$B$28)</f>
        <v>0</v>
      </c>
      <c r="N10" s="18" t="n">
        <f aca="false">((20848*2)*'Absolute values'!N11)/('Absolute values'!$B$27+'Absolute values'!$B$28)</f>
        <v>0</v>
      </c>
      <c r="O10" s="18" t="n">
        <f aca="false">((20848*2)*'Absolute values'!O11)/('Absolute values'!$B$27+'Absolute values'!$B$28)</f>
        <v>440.994182971973</v>
      </c>
      <c r="P10" s="18" t="n">
        <f aca="false">((20848*2)*'Absolute values'!P11)/('Absolute values'!$B$27+'Absolute values'!$B$28)</f>
        <v>0</v>
      </c>
      <c r="Q10" s="18" t="n">
        <f aca="false">((20848*2)*'Absolute values'!Q11)/('Absolute values'!$B$27+'Absolute values'!$B$28)</f>
        <v>0</v>
      </c>
      <c r="R10" s="18" t="n">
        <f aca="false">((20848*2)*'Absolute values'!R11)/('Absolute values'!$B$27+'Absolute values'!$B$28)</f>
        <v>0</v>
      </c>
      <c r="S10" s="18" t="n">
        <f aca="false">((20848*2)*'Absolute values'!S11)/('Absolute values'!$B$27+'Absolute values'!$B$28)</f>
        <v>0</v>
      </c>
      <c r="T10" s="18" t="n">
        <f aca="false">((20848*2)*'Absolute values'!T11)/('Absolute values'!$B$27+'Absolute values'!$B$28)</f>
        <v>0</v>
      </c>
      <c r="U10" s="18" t="n">
        <f aca="false">((20848*2)*'Absolute values'!U11)/('Absolute values'!$B$27+'Absolute values'!$B$28)</f>
        <v>0</v>
      </c>
      <c r="V10" s="18" t="n">
        <f aca="false">((20848*2)*'Absolute values'!V11)/('Absolute values'!$B$27+'Absolute values'!$B$28)</f>
        <v>0</v>
      </c>
      <c r="W10" s="18" t="n">
        <f aca="false">((20848*2)*'Absolute values'!W11)/('Absolute values'!$B$27+'Absolute values'!$B$28)</f>
        <v>0</v>
      </c>
      <c r="X10" s="18" t="n">
        <f aca="false">((20848*2)*'Absolute values'!X11)/('Absolute values'!$B$27+'Absolute values'!$B$28)</f>
        <v>0</v>
      </c>
      <c r="Y10" s="18" t="n">
        <f aca="false">((20848*2)*'Absolute values'!Y11)/('Absolute values'!$B$27+'Absolute values'!$B$28)</f>
        <v>0</v>
      </c>
      <c r="Z10" s="18" t="n">
        <f aca="false">((20848*2)*'Absolute values'!Z11)/('Absolute values'!$B$27+'Absolute values'!$B$28)</f>
        <v>0</v>
      </c>
      <c r="AA10" s="18" t="n">
        <f aca="false">((20848*2)*'Absolute values'!AA11)/('Absolute values'!$B$27+'Absolute values'!$B$28)</f>
        <v>0</v>
      </c>
      <c r="AB10" s="18" t="n">
        <f aca="false">((20848*2)*'Absolute values'!AB11)/('Absolute values'!$B$27+'Absolute values'!$B$28)</f>
        <v>0</v>
      </c>
      <c r="AC10" s="18" t="n">
        <f aca="false">((20848*2)*'Absolute values'!AC11)/('Absolute values'!$B$27+'Absolute values'!$B$28)</f>
        <v>0</v>
      </c>
      <c r="AD10" s="18" t="n">
        <f aca="false">((20848*2)*'Absolute values'!AD11)/('Absolute values'!$B$27+'Absolute values'!$B$28)</f>
        <v>0</v>
      </c>
      <c r="AE10" s="18" t="n">
        <f aca="false">((20848*2)*'Absolute values'!AE11)/('Absolute values'!$B$27+'Absolute values'!$B$28)</f>
        <v>0</v>
      </c>
      <c r="AF10" s="18" t="n">
        <f aca="false">((20848*2)*'Absolute values'!AF11)/('Absolute values'!$B$27+'Absolute values'!$B$28)</f>
        <v>0</v>
      </c>
      <c r="AG10" s="18" t="n">
        <f aca="false">((20848*2)*'Absolute values'!AG11)/('Absolute values'!$B$27+'Absolute values'!$B$28)</f>
        <v>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3"/>
      <c r="AU10" s="23"/>
      <c r="AV10" s="23"/>
      <c r="AW10" s="23"/>
      <c r="AX10" s="23"/>
    </row>
    <row r="11" s="18" customFormat="true" ht="15" hidden="false" customHeight="false" outlineLevel="0" collapsed="false">
      <c r="A11" s="17" t="s">
        <v>45</v>
      </c>
      <c r="B11" s="18" t="n">
        <f aca="false">((20848*2)*'Absolute values'!B12)/('Absolute values'!$B$27+'Absolute values'!$B$28)</f>
        <v>220.497091485986</v>
      </c>
      <c r="C11" s="18" t="n">
        <f aca="false">((20848*2)*'Absolute values'!C12)/('Absolute values'!$B$27+'Absolute values'!$B$28)</f>
        <v>220.497091485986</v>
      </c>
      <c r="D11" s="18" t="n">
        <f aca="false">((20848*2)*'Absolute values'!D12)/('Absolute values'!$B$27+'Absolute values'!$B$28)</f>
        <v>881.988365943945</v>
      </c>
      <c r="E11" s="18" t="n">
        <f aca="false">((20848*2)*'Absolute values'!E12)/('Absolute values'!$B$27+'Absolute values'!$B$28)</f>
        <v>1322.98254891592</v>
      </c>
      <c r="F11" s="18" t="n">
        <f aca="false">((20848*2)*'Absolute values'!F12)/('Absolute values'!$B$27+'Absolute values'!$B$28)</f>
        <v>1984.47382337388</v>
      </c>
      <c r="G11" s="18" t="n">
        <f aca="false">((20848*2)*'Absolute values'!G12)/('Absolute values'!$B$27+'Absolute values'!$B$28)</f>
        <v>440.994182971973</v>
      </c>
      <c r="H11" s="18" t="n">
        <f aca="false">((20848*2)*'Absolute values'!H12)/('Absolute values'!$B$27+'Absolute values'!$B$28)</f>
        <v>661.491274457959</v>
      </c>
      <c r="I11" s="18" t="n">
        <f aca="false">((20848*2)*'Absolute values'!I12)/('Absolute values'!$B$27+'Absolute values'!$B$28)</f>
        <v>881.988365943945</v>
      </c>
      <c r="J11" s="18" t="n">
        <f aca="false">((20848*2)*'Absolute values'!J12)/('Absolute values'!$B$27+'Absolute values'!$B$28)</f>
        <v>220.497091485986</v>
      </c>
      <c r="K11" s="18" t="n">
        <f aca="false">((20848*2)*'Absolute values'!K12)/('Absolute values'!$B$27+'Absolute values'!$B$28)</f>
        <v>0</v>
      </c>
      <c r="L11" s="18" t="n">
        <f aca="false">((20848*2)*'Absolute values'!L12)/('Absolute values'!$B$27+'Absolute values'!$B$28)</f>
        <v>661.491274457959</v>
      </c>
      <c r="M11" s="18" t="n">
        <f aca="false">((20848*2)*'Absolute values'!M12)/('Absolute values'!$B$27+'Absolute values'!$B$28)</f>
        <v>0</v>
      </c>
      <c r="N11" s="18" t="n">
        <f aca="false">((20848*2)*'Absolute values'!N12)/('Absolute values'!$B$27+'Absolute values'!$B$28)</f>
        <v>0</v>
      </c>
      <c r="O11" s="18" t="n">
        <f aca="false">((20848*2)*'Absolute values'!O12)/('Absolute values'!$B$27+'Absolute values'!$B$28)</f>
        <v>0</v>
      </c>
      <c r="P11" s="18" t="n">
        <f aca="false">((20848*2)*'Absolute values'!P12)/('Absolute values'!$B$27+'Absolute values'!$B$28)</f>
        <v>0</v>
      </c>
      <c r="Q11" s="18" t="n">
        <f aca="false">((20848*2)*'Absolute values'!Q12)/('Absolute values'!$B$27+'Absolute values'!$B$28)</f>
        <v>0</v>
      </c>
      <c r="R11" s="18" t="n">
        <f aca="false">((20848*2)*'Absolute values'!R12)/('Absolute values'!$B$27+'Absolute values'!$B$28)</f>
        <v>0</v>
      </c>
      <c r="S11" s="18" t="n">
        <f aca="false">((20848*2)*'Absolute values'!S12)/('Absolute values'!$B$27+'Absolute values'!$B$28)</f>
        <v>661.491274457959</v>
      </c>
      <c r="T11" s="18" t="n">
        <f aca="false">((20848*2)*'Absolute values'!T12)/('Absolute values'!$B$27+'Absolute values'!$B$28)</f>
        <v>220.497091485986</v>
      </c>
      <c r="U11" s="18" t="n">
        <f aca="false">((20848*2)*'Absolute values'!U12)/('Absolute values'!$B$27+'Absolute values'!$B$28)</f>
        <v>440.994182971973</v>
      </c>
      <c r="V11" s="18" t="n">
        <f aca="false">((20848*2)*'Absolute values'!V12)/('Absolute values'!$B$27+'Absolute values'!$B$28)</f>
        <v>661.491274457959</v>
      </c>
      <c r="W11" s="18" t="n">
        <f aca="false">((20848*2)*'Absolute values'!W12)/('Absolute values'!$B$27+'Absolute values'!$B$28)</f>
        <v>0</v>
      </c>
      <c r="X11" s="18" t="n">
        <f aca="false">((20848*2)*'Absolute values'!X12)/('Absolute values'!$B$27+'Absolute values'!$B$28)</f>
        <v>661.491274457959</v>
      </c>
      <c r="Y11" s="18" t="n">
        <f aca="false">((20848*2)*'Absolute values'!Y12)/('Absolute values'!$B$27+'Absolute values'!$B$28)</f>
        <v>881.988365943945</v>
      </c>
      <c r="Z11" s="18" t="n">
        <f aca="false">((20848*2)*'Absolute values'!Z12)/('Absolute values'!$B$27+'Absolute values'!$B$28)</f>
        <v>440.994182971973</v>
      </c>
      <c r="AA11" s="18" t="n">
        <f aca="false">((20848*2)*'Absolute values'!AA12)/('Absolute values'!$B$27+'Absolute values'!$B$28)</f>
        <v>220.497091485986</v>
      </c>
      <c r="AB11" s="18" t="n">
        <f aca="false">((20848*2)*'Absolute values'!AB12)/('Absolute values'!$B$27+'Absolute values'!$B$28)</f>
        <v>0</v>
      </c>
      <c r="AC11" s="18" t="n">
        <f aca="false">((20848*2)*'Absolute values'!AC12)/('Absolute values'!$B$27+'Absolute values'!$B$28)</f>
        <v>220.497091485986</v>
      </c>
      <c r="AD11" s="18" t="n">
        <f aca="false">((20848*2)*'Absolute values'!AD12)/('Absolute values'!$B$27+'Absolute values'!$B$28)</f>
        <v>220.497091485986</v>
      </c>
      <c r="AE11" s="18" t="n">
        <f aca="false">((20848*2)*'Absolute values'!AE12)/('Absolute values'!$B$27+'Absolute values'!$B$28)</f>
        <v>0</v>
      </c>
      <c r="AF11" s="18" t="n">
        <f aca="false">((20848*2)*'Absolute values'!AF12)/('Absolute values'!$B$27+'Absolute values'!$B$28)</f>
        <v>0</v>
      </c>
      <c r="AG11" s="18" t="n">
        <f aca="false">((20848*2)*'Absolute values'!AG12)/('Absolute values'!$B$27+'Absolute values'!$B$28)</f>
        <v>440.994182971973</v>
      </c>
      <c r="AQ11" s="21"/>
      <c r="AR11" s="21"/>
      <c r="AS11" s="21"/>
      <c r="AT11" s="22"/>
      <c r="AU11" s="22"/>
      <c r="AV11" s="22"/>
      <c r="AW11" s="22"/>
      <c r="AX11" s="22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</row>
    <row r="12" s="18" customFormat="true" ht="15" hidden="false" customHeight="false" outlineLevel="0" collapsed="false">
      <c r="A12" s="17" t="s">
        <v>73</v>
      </c>
      <c r="B12" s="18" t="n">
        <f aca="false">((20848*2)*'Absolute values'!B13)/('Absolute values'!$B$27+'Absolute values'!$B$28)</f>
        <v>881.988365943945</v>
      </c>
      <c r="C12" s="18" t="n">
        <f aca="false">((20848*2)*'Absolute values'!C13)/('Absolute values'!$B$27+'Absolute values'!$B$28)</f>
        <v>440.994182971973</v>
      </c>
      <c r="D12" s="18" t="n">
        <f aca="false">((20848*2)*'Absolute values'!D13)/('Absolute values'!$B$27+'Absolute values'!$B$28)</f>
        <v>0</v>
      </c>
      <c r="E12" s="18" t="n">
        <f aca="false">((20848*2)*'Absolute values'!E13)/('Absolute values'!$B$27+'Absolute values'!$B$28)</f>
        <v>220.497091485986</v>
      </c>
      <c r="F12" s="18" t="n">
        <f aca="false">((20848*2)*'Absolute values'!F13)/('Absolute values'!$B$27+'Absolute values'!$B$28)</f>
        <v>0</v>
      </c>
      <c r="G12" s="18" t="n">
        <f aca="false">((20848*2)*'Absolute values'!G13)/('Absolute values'!$B$27+'Absolute values'!$B$28)</f>
        <v>440.994182971973</v>
      </c>
      <c r="H12" s="18" t="n">
        <f aca="false">((20848*2)*'Absolute values'!H13)/('Absolute values'!$B$27+'Absolute values'!$B$28)</f>
        <v>0</v>
      </c>
      <c r="I12" s="18" t="n">
        <f aca="false">((20848*2)*'Absolute values'!I13)/('Absolute values'!$B$27+'Absolute values'!$B$28)</f>
        <v>220.497091485986</v>
      </c>
      <c r="J12" s="18" t="n">
        <f aca="false">((20848*2)*'Absolute values'!J13)/('Absolute values'!$B$27+'Absolute values'!$B$28)</f>
        <v>0</v>
      </c>
      <c r="K12" s="18" t="n">
        <f aca="false">((20848*2)*'Absolute values'!K13)/('Absolute values'!$B$27+'Absolute values'!$B$28)</f>
        <v>220.497091485986</v>
      </c>
      <c r="L12" s="18" t="n">
        <f aca="false">((20848*2)*'Absolute values'!L13)/('Absolute values'!$B$27+'Absolute values'!$B$28)</f>
        <v>220.497091485986</v>
      </c>
      <c r="M12" s="18" t="n">
        <f aca="false">((20848*2)*'Absolute values'!M13)/('Absolute values'!$B$27+'Absolute values'!$B$28)</f>
        <v>0</v>
      </c>
      <c r="N12" s="18" t="n">
        <f aca="false">((20848*2)*'Absolute values'!N13)/('Absolute values'!$B$27+'Absolute values'!$B$28)</f>
        <v>0</v>
      </c>
      <c r="O12" s="18" t="n">
        <f aca="false">((20848*2)*'Absolute values'!O13)/('Absolute values'!$B$27+'Absolute values'!$B$28)</f>
        <v>0</v>
      </c>
      <c r="P12" s="18" t="n">
        <f aca="false">((20848*2)*'Absolute values'!P13)/('Absolute values'!$B$27+'Absolute values'!$B$28)</f>
        <v>0</v>
      </c>
      <c r="Q12" s="18" t="n">
        <f aca="false">((20848*2)*'Absolute values'!Q13)/('Absolute values'!$B$27+'Absolute values'!$B$28)</f>
        <v>0</v>
      </c>
      <c r="R12" s="18" t="n">
        <f aca="false">((20848*2)*'Absolute values'!R13)/('Absolute values'!$B$27+'Absolute values'!$B$28)</f>
        <v>0</v>
      </c>
      <c r="S12" s="18" t="n">
        <f aca="false">((20848*2)*'Absolute values'!S13)/('Absolute values'!$B$27+'Absolute values'!$B$28)</f>
        <v>0</v>
      </c>
      <c r="T12" s="18" t="n">
        <f aca="false">((20848*2)*'Absolute values'!T13)/('Absolute values'!$B$27+'Absolute values'!$B$28)</f>
        <v>0</v>
      </c>
      <c r="U12" s="18" t="n">
        <f aca="false">((20848*2)*'Absolute values'!U13)/('Absolute values'!$B$27+'Absolute values'!$B$28)</f>
        <v>0</v>
      </c>
      <c r="V12" s="18" t="n">
        <f aca="false">((20848*2)*'Absolute values'!V13)/('Absolute values'!$B$27+'Absolute values'!$B$28)</f>
        <v>220.497091485986</v>
      </c>
      <c r="W12" s="18" t="n">
        <f aca="false">((20848*2)*'Absolute values'!W13)/('Absolute values'!$B$27+'Absolute values'!$B$28)</f>
        <v>0</v>
      </c>
      <c r="X12" s="18" t="n">
        <f aca="false">((20848*2)*'Absolute values'!X13)/('Absolute values'!$B$27+'Absolute values'!$B$28)</f>
        <v>0</v>
      </c>
      <c r="Y12" s="18" t="n">
        <f aca="false">((20848*2)*'Absolute values'!Y13)/('Absolute values'!$B$27+'Absolute values'!$B$28)</f>
        <v>440.994182971973</v>
      </c>
      <c r="Z12" s="18" t="n">
        <f aca="false">((20848*2)*'Absolute values'!Z13)/('Absolute values'!$B$27+'Absolute values'!$B$28)</f>
        <v>220.497091485986</v>
      </c>
      <c r="AA12" s="18" t="n">
        <f aca="false">((20848*2)*'Absolute values'!AA13)/('Absolute values'!$B$27+'Absolute values'!$B$28)</f>
        <v>0</v>
      </c>
      <c r="AB12" s="18" t="n">
        <f aca="false">((20848*2)*'Absolute values'!AB13)/('Absolute values'!$B$27+'Absolute values'!$B$28)</f>
        <v>0</v>
      </c>
      <c r="AC12" s="18" t="n">
        <f aca="false">((20848*2)*'Absolute values'!AC13)/('Absolute values'!$B$27+'Absolute values'!$B$28)</f>
        <v>0</v>
      </c>
      <c r="AD12" s="18" t="n">
        <f aca="false">((20848*2)*'Absolute values'!AD13)/('Absolute values'!$B$27+'Absolute values'!$B$28)</f>
        <v>0</v>
      </c>
      <c r="AE12" s="18" t="n">
        <f aca="false">((20848*2)*'Absolute values'!AE13)/('Absolute values'!$B$27+'Absolute values'!$B$28)</f>
        <v>0</v>
      </c>
      <c r="AF12" s="18" t="n">
        <f aca="false">((20848*2)*'Absolute values'!AF13)/('Absolute values'!$B$27+'Absolute values'!$B$28)</f>
        <v>0</v>
      </c>
      <c r="AG12" s="18" t="n">
        <f aca="false">((20848*2)*'Absolute values'!AG13)/('Absolute values'!$B$27+'Absolute values'!$B$28)</f>
        <v>220.497091485986</v>
      </c>
      <c r="AQ12" s="21"/>
      <c r="AR12" s="21"/>
      <c r="AS12" s="21"/>
      <c r="AT12" s="22"/>
      <c r="AU12" s="22"/>
      <c r="AV12" s="22"/>
      <c r="AW12" s="22"/>
      <c r="AX12" s="22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</row>
    <row r="13" s="1" customFormat="true" ht="15" hidden="false" customHeight="false" outlineLevel="0" collapsed="false">
      <c r="A13" s="17" t="s">
        <v>47</v>
      </c>
      <c r="B13" s="18" t="n">
        <f aca="false">((20848*2)*'Absolute values'!B14)/('Absolute values'!$B$27+'Absolute values'!$B$28)</f>
        <v>2204.97091485986</v>
      </c>
      <c r="C13" s="18" t="n">
        <f aca="false">((20848*2)*'Absolute values'!C14)/('Absolute values'!$B$27+'Absolute values'!$B$28)</f>
        <v>661.491274457959</v>
      </c>
      <c r="D13" s="18" t="n">
        <f aca="false">((20848*2)*'Absolute values'!D14)/('Absolute values'!$B$27+'Absolute values'!$B$28)</f>
        <v>1322.98254891592</v>
      </c>
      <c r="E13" s="18" t="n">
        <f aca="false">((20848*2)*'Absolute values'!E14)/('Absolute values'!$B$27+'Absolute values'!$B$28)</f>
        <v>3527.95346377578</v>
      </c>
      <c r="F13" s="18" t="n">
        <f aca="false">((20848*2)*'Absolute values'!F14)/('Absolute values'!$B$27+'Absolute values'!$B$28)</f>
        <v>1322.98254891592</v>
      </c>
      <c r="G13" s="18" t="n">
        <f aca="false">((20848*2)*'Absolute values'!G14)/('Absolute values'!$B$27+'Absolute values'!$B$28)</f>
        <v>3086.95928080381</v>
      </c>
      <c r="H13" s="18" t="n">
        <f aca="false">((20848*2)*'Absolute values'!H14)/('Absolute values'!$B$27+'Absolute values'!$B$28)</f>
        <v>661.491274457959</v>
      </c>
      <c r="I13" s="18" t="n">
        <f aca="false">((20848*2)*'Absolute values'!I14)/('Absolute values'!$B$27+'Absolute values'!$B$28)</f>
        <v>220.497091485986</v>
      </c>
      <c r="J13" s="18" t="n">
        <f aca="false">((20848*2)*'Absolute values'!J14)/('Absolute values'!$B$27+'Absolute values'!$B$28)</f>
        <v>440.994182971973</v>
      </c>
      <c r="K13" s="18" t="n">
        <f aca="false">((20848*2)*'Absolute values'!K14)/('Absolute values'!$B$27+'Absolute values'!$B$28)</f>
        <v>440.994182971973</v>
      </c>
      <c r="L13" s="18" t="n">
        <f aca="false">((20848*2)*'Absolute values'!L14)/('Absolute values'!$B$27+'Absolute values'!$B$28)</f>
        <v>220.497091485986</v>
      </c>
      <c r="M13" s="18" t="n">
        <f aca="false">((20848*2)*'Absolute values'!M14)/('Absolute values'!$B$27+'Absolute values'!$B$28)</f>
        <v>440.994182971973</v>
      </c>
      <c r="N13" s="18" t="n">
        <f aca="false">((20848*2)*'Absolute values'!N14)/('Absolute values'!$B$27+'Absolute values'!$B$28)</f>
        <v>440.994182971973</v>
      </c>
      <c r="O13" s="18" t="n">
        <f aca="false">((20848*2)*'Absolute values'!O14)/('Absolute values'!$B$27+'Absolute values'!$B$28)</f>
        <v>881.988365943945</v>
      </c>
      <c r="P13" s="18" t="n">
        <f aca="false">((20848*2)*'Absolute values'!P14)/('Absolute values'!$B$27+'Absolute values'!$B$28)</f>
        <v>220.497091485986</v>
      </c>
      <c r="Q13" s="18" t="n">
        <f aca="false">((20848*2)*'Absolute values'!Q14)/('Absolute values'!$B$27+'Absolute values'!$B$28)</f>
        <v>0</v>
      </c>
      <c r="R13" s="18" t="n">
        <f aca="false">((20848*2)*'Absolute values'!R14)/('Absolute values'!$B$27+'Absolute values'!$B$28)</f>
        <v>0</v>
      </c>
      <c r="S13" s="18" t="n">
        <f aca="false">((20848*2)*'Absolute values'!S14)/('Absolute values'!$B$27+'Absolute values'!$B$28)</f>
        <v>1543.4796404019</v>
      </c>
      <c r="T13" s="18" t="n">
        <f aca="false">((20848*2)*'Absolute values'!T14)/('Absolute values'!$B$27+'Absolute values'!$B$28)</f>
        <v>220.497091485986</v>
      </c>
      <c r="U13" s="18" t="n">
        <f aca="false">((20848*2)*'Absolute values'!U14)/('Absolute values'!$B$27+'Absolute values'!$B$28)</f>
        <v>0</v>
      </c>
      <c r="V13" s="18" t="n">
        <f aca="false">((20848*2)*'Absolute values'!V14)/('Absolute values'!$B$27+'Absolute values'!$B$28)</f>
        <v>220.497091485986</v>
      </c>
      <c r="W13" s="18" t="n">
        <f aca="false">((20848*2)*'Absolute values'!W14)/('Absolute values'!$B$27+'Absolute values'!$B$28)</f>
        <v>0</v>
      </c>
      <c r="X13" s="18" t="n">
        <f aca="false">((20848*2)*'Absolute values'!X14)/('Absolute values'!$B$27+'Absolute values'!$B$28)</f>
        <v>220.497091485986</v>
      </c>
      <c r="Y13" s="18" t="n">
        <f aca="false">((20848*2)*'Absolute values'!Y14)/('Absolute values'!$B$27+'Absolute values'!$B$28)</f>
        <v>881.988365943945</v>
      </c>
      <c r="Z13" s="18" t="n">
        <f aca="false">((20848*2)*'Absolute values'!Z14)/('Absolute values'!$B$27+'Absolute values'!$B$28)</f>
        <v>1102.48545742993</v>
      </c>
      <c r="AA13" s="18" t="n">
        <f aca="false">((20848*2)*'Absolute values'!AA14)/('Absolute values'!$B$27+'Absolute values'!$B$28)</f>
        <v>661.491274457959</v>
      </c>
      <c r="AB13" s="18" t="n">
        <f aca="false">((20848*2)*'Absolute values'!AB14)/('Absolute values'!$B$27+'Absolute values'!$B$28)</f>
        <v>0</v>
      </c>
      <c r="AC13" s="18" t="n">
        <f aca="false">((20848*2)*'Absolute values'!AC14)/('Absolute values'!$B$27+'Absolute values'!$B$28)</f>
        <v>440.994182971973</v>
      </c>
      <c r="AD13" s="18" t="n">
        <f aca="false">((20848*2)*'Absolute values'!AD14)/('Absolute values'!$B$27+'Absolute values'!$B$28)</f>
        <v>0</v>
      </c>
      <c r="AE13" s="18" t="n">
        <f aca="false">((20848*2)*'Absolute values'!AE14)/('Absolute values'!$B$27+'Absolute values'!$B$28)</f>
        <v>0</v>
      </c>
      <c r="AF13" s="18" t="n">
        <f aca="false">((20848*2)*'Absolute values'!AF14)/('Absolute values'!$B$27+'Absolute values'!$B$28)</f>
        <v>0</v>
      </c>
      <c r="AG13" s="18" t="n">
        <f aca="false">((20848*2)*'Absolute values'!AG14)/('Absolute values'!$B$27+'Absolute values'!$B$28)</f>
        <v>2866.46218931782</v>
      </c>
      <c r="AH13" s="24"/>
      <c r="AI13" s="24"/>
      <c r="AJ13" s="24"/>
      <c r="AK13" s="24"/>
      <c r="AL13" s="24"/>
      <c r="AM13" s="24"/>
      <c r="AN13" s="24"/>
      <c r="AO13" s="24"/>
      <c r="AP13" s="24"/>
      <c r="AQ13" s="25"/>
      <c r="AR13" s="25"/>
      <c r="AS13" s="25"/>
      <c r="AT13" s="26"/>
      <c r="AU13" s="26"/>
      <c r="AV13" s="26"/>
      <c r="AW13" s="26"/>
      <c r="AX13" s="26"/>
    </row>
    <row r="14" s="1" customFormat="true" ht="15" hidden="false" customHeight="false" outlineLevel="0" collapsed="false">
      <c r="A14" s="17" t="s">
        <v>55</v>
      </c>
      <c r="B14" s="18" t="n">
        <f aca="false">((20848*2)*'Absolute values'!B15)/('Absolute values'!$B$27+'Absolute values'!$B$28)</f>
        <v>0</v>
      </c>
      <c r="C14" s="18" t="n">
        <f aca="false">((20848*2)*'Absolute values'!C15)/('Absolute values'!$B$27+'Absolute values'!$B$28)</f>
        <v>0</v>
      </c>
      <c r="D14" s="18" t="n">
        <f aca="false">((20848*2)*'Absolute values'!D15)/('Absolute values'!$B$27+'Absolute values'!$B$28)</f>
        <v>0</v>
      </c>
      <c r="E14" s="18" t="n">
        <f aca="false">((20848*2)*'Absolute values'!E15)/('Absolute values'!$B$27+'Absolute values'!$B$28)</f>
        <v>0</v>
      </c>
      <c r="F14" s="18" t="n">
        <f aca="false">((20848*2)*'Absolute values'!F15)/('Absolute values'!$B$27+'Absolute values'!$B$28)</f>
        <v>0</v>
      </c>
      <c r="G14" s="18" t="n">
        <f aca="false">((20848*2)*'Absolute values'!G15)/('Absolute values'!$B$27+'Absolute values'!$B$28)</f>
        <v>0</v>
      </c>
      <c r="H14" s="18" t="n">
        <f aca="false">((20848*2)*'Absolute values'!H15)/('Absolute values'!$B$27+'Absolute values'!$B$28)</f>
        <v>0</v>
      </c>
      <c r="I14" s="18" t="n">
        <f aca="false">((20848*2)*'Absolute values'!I15)/('Absolute values'!$B$27+'Absolute values'!$B$28)</f>
        <v>0</v>
      </c>
      <c r="J14" s="18" t="n">
        <f aca="false">((20848*2)*'Absolute values'!J15)/('Absolute values'!$B$27+'Absolute values'!$B$28)</f>
        <v>0</v>
      </c>
      <c r="K14" s="18" t="n">
        <f aca="false">((20848*2)*'Absolute values'!K15)/('Absolute values'!$B$27+'Absolute values'!$B$28)</f>
        <v>0</v>
      </c>
      <c r="L14" s="18" t="n">
        <f aca="false">((20848*2)*'Absolute values'!L15)/('Absolute values'!$B$27+'Absolute values'!$B$28)</f>
        <v>0</v>
      </c>
      <c r="M14" s="18" t="n">
        <f aca="false">((20848*2)*'Absolute values'!M15)/('Absolute values'!$B$27+'Absolute values'!$B$28)</f>
        <v>0</v>
      </c>
      <c r="N14" s="18" t="n">
        <f aca="false">((20848*2)*'Absolute values'!N15)/('Absolute values'!$B$27+'Absolute values'!$B$28)</f>
        <v>0</v>
      </c>
      <c r="O14" s="18" t="n">
        <f aca="false">((20848*2)*'Absolute values'!O15)/('Absolute values'!$B$27+'Absolute values'!$B$28)</f>
        <v>0</v>
      </c>
      <c r="P14" s="18" t="n">
        <f aca="false">((20848*2)*'Absolute values'!P15)/('Absolute values'!$B$27+'Absolute values'!$B$28)</f>
        <v>0</v>
      </c>
      <c r="Q14" s="18" t="n">
        <f aca="false">((20848*2)*'Absolute values'!Q15)/('Absolute values'!$B$27+'Absolute values'!$B$28)</f>
        <v>0</v>
      </c>
      <c r="R14" s="18" t="n">
        <f aca="false">((20848*2)*'Absolute values'!R15)/('Absolute values'!$B$27+'Absolute values'!$B$28)</f>
        <v>0</v>
      </c>
      <c r="S14" s="18" t="n">
        <f aca="false">((20848*2)*'Absolute values'!S15)/('Absolute values'!$B$27+'Absolute values'!$B$28)</f>
        <v>0</v>
      </c>
      <c r="T14" s="18" t="n">
        <f aca="false">((20848*2)*'Absolute values'!T15)/('Absolute values'!$B$27+'Absolute values'!$B$28)</f>
        <v>0</v>
      </c>
      <c r="U14" s="18" t="n">
        <f aca="false">((20848*2)*'Absolute values'!U15)/('Absolute values'!$B$27+'Absolute values'!$B$28)</f>
        <v>0</v>
      </c>
      <c r="V14" s="18" t="n">
        <f aca="false">((20848*2)*'Absolute values'!V15)/('Absolute values'!$B$27+'Absolute values'!$B$28)</f>
        <v>0</v>
      </c>
      <c r="W14" s="18" t="n">
        <f aca="false">((20848*2)*'Absolute values'!W15)/('Absolute values'!$B$27+'Absolute values'!$B$28)</f>
        <v>220.497091485986</v>
      </c>
      <c r="X14" s="18" t="n">
        <f aca="false">((20848*2)*'Absolute values'!X15)/('Absolute values'!$B$27+'Absolute values'!$B$28)</f>
        <v>0</v>
      </c>
      <c r="Y14" s="18" t="n">
        <f aca="false">((20848*2)*'Absolute values'!Y15)/('Absolute values'!$B$27+'Absolute values'!$B$28)</f>
        <v>0</v>
      </c>
      <c r="Z14" s="18" t="n">
        <f aca="false">((20848*2)*'Absolute values'!Z15)/('Absolute values'!$B$27+'Absolute values'!$B$28)</f>
        <v>0</v>
      </c>
      <c r="AA14" s="18" t="n">
        <f aca="false">((20848*2)*'Absolute values'!AA15)/('Absolute values'!$B$27+'Absolute values'!$B$28)</f>
        <v>0</v>
      </c>
      <c r="AB14" s="18" t="n">
        <f aca="false">((20848*2)*'Absolute values'!AB15)/('Absolute values'!$B$27+'Absolute values'!$B$28)</f>
        <v>0</v>
      </c>
      <c r="AC14" s="18" t="n">
        <f aca="false">((20848*2)*'Absolute values'!AC15)/('Absolute values'!$B$27+'Absolute values'!$B$28)</f>
        <v>0</v>
      </c>
      <c r="AD14" s="18" t="n">
        <f aca="false">((20848*2)*'Absolute values'!AD15)/('Absolute values'!$B$27+'Absolute values'!$B$28)</f>
        <v>0</v>
      </c>
      <c r="AE14" s="18" t="n">
        <f aca="false">((20848*2)*'Absolute values'!AE15)/('Absolute values'!$B$27+'Absolute values'!$B$28)</f>
        <v>0</v>
      </c>
      <c r="AF14" s="18" t="n">
        <f aca="false">((20848*2)*'Absolute values'!AF15)/('Absolute values'!$B$27+'Absolute values'!$B$28)</f>
        <v>0</v>
      </c>
      <c r="AG14" s="18" t="n">
        <f aca="false">((20848*2)*'Absolute values'!AG15)/('Absolute values'!$B$27+'Absolute values'!$B$28)</f>
        <v>0</v>
      </c>
      <c r="AH14" s="24"/>
      <c r="AI14" s="24"/>
      <c r="AJ14" s="24"/>
      <c r="AK14" s="24"/>
      <c r="AL14" s="24"/>
      <c r="AM14" s="24"/>
      <c r="AN14" s="24"/>
      <c r="AO14" s="24"/>
      <c r="AP14" s="24"/>
      <c r="AQ14" s="25"/>
      <c r="AR14" s="25"/>
      <c r="AS14" s="25"/>
      <c r="AT14" s="26"/>
      <c r="AU14" s="26"/>
      <c r="AV14" s="26"/>
      <c r="AW14" s="26"/>
      <c r="AX14" s="26"/>
    </row>
    <row r="15" s="24" customFormat="true" ht="15" hidden="false" customHeight="false" outlineLevel="0" collapsed="false">
      <c r="A15" s="17" t="s">
        <v>56</v>
      </c>
      <c r="B15" s="18" t="n">
        <f aca="false">((20848*2)*'Absolute values'!B16)/('Absolute values'!$B$27+'Absolute values'!$B$28)</f>
        <v>0</v>
      </c>
      <c r="C15" s="18" t="n">
        <f aca="false">((20848*2)*'Absolute values'!C16)/('Absolute values'!$B$27+'Absolute values'!$B$28)</f>
        <v>0</v>
      </c>
      <c r="D15" s="18" t="n">
        <f aca="false">((20848*2)*'Absolute values'!D16)/('Absolute values'!$B$27+'Absolute values'!$B$28)</f>
        <v>0</v>
      </c>
      <c r="E15" s="18" t="n">
        <f aca="false">((20848*2)*'Absolute values'!E16)/('Absolute values'!$B$27+'Absolute values'!$B$28)</f>
        <v>0</v>
      </c>
      <c r="F15" s="18" t="n">
        <f aca="false">((20848*2)*'Absolute values'!F16)/('Absolute values'!$B$27+'Absolute values'!$B$28)</f>
        <v>0</v>
      </c>
      <c r="G15" s="18" t="n">
        <f aca="false">((20848*2)*'Absolute values'!G16)/('Absolute values'!$B$27+'Absolute values'!$B$28)</f>
        <v>0</v>
      </c>
      <c r="H15" s="18" t="n">
        <f aca="false">((20848*2)*'Absolute values'!H16)/('Absolute values'!$B$27+'Absolute values'!$B$28)</f>
        <v>0</v>
      </c>
      <c r="I15" s="18" t="n">
        <f aca="false">((20848*2)*'Absolute values'!I16)/('Absolute values'!$B$27+'Absolute values'!$B$28)</f>
        <v>0</v>
      </c>
      <c r="J15" s="18" t="n">
        <f aca="false">((20848*2)*'Absolute values'!J16)/('Absolute values'!$B$27+'Absolute values'!$B$28)</f>
        <v>0</v>
      </c>
      <c r="K15" s="18" t="n">
        <f aca="false">((20848*2)*'Absolute values'!K16)/('Absolute values'!$B$27+'Absolute values'!$B$28)</f>
        <v>0</v>
      </c>
      <c r="L15" s="18" t="n">
        <f aca="false">((20848*2)*'Absolute values'!L16)/('Absolute values'!$B$27+'Absolute values'!$B$28)</f>
        <v>0</v>
      </c>
      <c r="M15" s="18" t="n">
        <f aca="false">((20848*2)*'Absolute values'!M16)/('Absolute values'!$B$27+'Absolute values'!$B$28)</f>
        <v>0</v>
      </c>
      <c r="N15" s="18" t="n">
        <f aca="false">((20848*2)*'Absolute values'!N16)/('Absolute values'!$B$27+'Absolute values'!$B$28)</f>
        <v>0</v>
      </c>
      <c r="O15" s="18" t="n">
        <f aca="false">((20848*2)*'Absolute values'!O16)/('Absolute values'!$B$27+'Absolute values'!$B$28)</f>
        <v>220.497091485986</v>
      </c>
      <c r="P15" s="18" t="n">
        <f aca="false">((20848*2)*'Absolute values'!P16)/('Absolute values'!$B$27+'Absolute values'!$B$28)</f>
        <v>0</v>
      </c>
      <c r="Q15" s="18" t="n">
        <f aca="false">((20848*2)*'Absolute values'!Q16)/('Absolute values'!$B$27+'Absolute values'!$B$28)</f>
        <v>0</v>
      </c>
      <c r="R15" s="18" t="n">
        <f aca="false">((20848*2)*'Absolute values'!R16)/('Absolute values'!$B$27+'Absolute values'!$B$28)</f>
        <v>0</v>
      </c>
      <c r="S15" s="18" t="n">
        <f aca="false">((20848*2)*'Absolute values'!S16)/('Absolute values'!$B$27+'Absolute values'!$B$28)</f>
        <v>0</v>
      </c>
      <c r="T15" s="18" t="n">
        <f aca="false">((20848*2)*'Absolute values'!T16)/('Absolute values'!$B$27+'Absolute values'!$B$28)</f>
        <v>0</v>
      </c>
      <c r="U15" s="18" t="n">
        <f aca="false">((20848*2)*'Absolute values'!U16)/('Absolute values'!$B$27+'Absolute values'!$B$28)</f>
        <v>0</v>
      </c>
      <c r="V15" s="18" t="n">
        <f aca="false">((20848*2)*'Absolute values'!V16)/('Absolute values'!$B$27+'Absolute values'!$B$28)</f>
        <v>0</v>
      </c>
      <c r="W15" s="18" t="n">
        <f aca="false">((20848*2)*'Absolute values'!W16)/('Absolute values'!$B$27+'Absolute values'!$B$28)</f>
        <v>0</v>
      </c>
      <c r="X15" s="18" t="n">
        <f aca="false">((20848*2)*'Absolute values'!X16)/('Absolute values'!$B$27+'Absolute values'!$B$28)</f>
        <v>0</v>
      </c>
      <c r="Y15" s="18" t="n">
        <f aca="false">((20848*2)*'Absolute values'!Y16)/('Absolute values'!$B$27+'Absolute values'!$B$28)</f>
        <v>220.497091485986</v>
      </c>
      <c r="Z15" s="18" t="n">
        <f aca="false">((20848*2)*'Absolute values'!Z16)/('Absolute values'!$B$27+'Absolute values'!$B$28)</f>
        <v>0</v>
      </c>
      <c r="AA15" s="18" t="n">
        <f aca="false">((20848*2)*'Absolute values'!AA16)/('Absolute values'!$B$27+'Absolute values'!$B$28)</f>
        <v>0</v>
      </c>
      <c r="AB15" s="18" t="n">
        <f aca="false">((20848*2)*'Absolute values'!AB16)/('Absolute values'!$B$27+'Absolute values'!$B$28)</f>
        <v>0</v>
      </c>
      <c r="AC15" s="18" t="n">
        <f aca="false">((20848*2)*'Absolute values'!AC16)/('Absolute values'!$B$27+'Absolute values'!$B$28)</f>
        <v>0</v>
      </c>
      <c r="AD15" s="18" t="n">
        <f aca="false">((20848*2)*'Absolute values'!AD16)/('Absolute values'!$B$27+'Absolute values'!$B$28)</f>
        <v>0</v>
      </c>
      <c r="AE15" s="18" t="n">
        <f aca="false">((20848*2)*'Absolute values'!AE16)/('Absolute values'!$B$27+'Absolute values'!$B$28)</f>
        <v>0</v>
      </c>
      <c r="AF15" s="18" t="n">
        <f aca="false">((20848*2)*'Absolute values'!AF16)/('Absolute values'!$B$27+'Absolute values'!$B$28)</f>
        <v>0</v>
      </c>
      <c r="AG15" s="18" t="n">
        <f aca="false">((20848*2)*'Absolute values'!AG16)/('Absolute values'!$B$27+'Absolute values'!$B$28)</f>
        <v>0</v>
      </c>
      <c r="AQ15" s="25"/>
      <c r="AR15" s="25"/>
      <c r="AS15" s="25"/>
      <c r="AT15" s="26"/>
      <c r="AU15" s="26"/>
      <c r="AV15" s="26"/>
      <c r="AW15" s="26"/>
      <c r="AX15" s="26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</row>
    <row r="16" s="1" customFormat="true" ht="15" hidden="false" customHeight="false" outlineLevel="0" collapsed="false">
      <c r="A16" s="34" t="s">
        <v>57</v>
      </c>
      <c r="B16" s="18" t="n">
        <f aca="false">((20848*2)*'Absolute values'!B17)/('Absolute values'!$B$27+'Absolute values'!$B$28)</f>
        <v>4630.43892120571</v>
      </c>
      <c r="C16" s="18" t="n">
        <f aca="false">((20848*2)*'Absolute values'!C17)/('Absolute values'!$B$27+'Absolute values'!$B$28)</f>
        <v>1322.98254891592</v>
      </c>
      <c r="D16" s="18" t="n">
        <f aca="false">((20848*2)*'Absolute values'!D17)/('Absolute values'!$B$27+'Absolute values'!$B$28)</f>
        <v>2645.96509783184</v>
      </c>
      <c r="E16" s="18" t="n">
        <f aca="false">((20848*2)*'Absolute values'!E17)/('Absolute values'!$B$27+'Absolute values'!$B$28)</f>
        <v>5071.43310417768</v>
      </c>
      <c r="F16" s="18" t="n">
        <f aca="false">((20848*2)*'Absolute values'!F17)/('Absolute values'!$B$27+'Absolute values'!$B$28)</f>
        <v>3527.95346377578</v>
      </c>
      <c r="G16" s="18" t="n">
        <f aca="false">((20848*2)*'Absolute values'!G17)/('Absolute values'!$B$27+'Absolute values'!$B$28)</f>
        <v>3748.45055526177</v>
      </c>
      <c r="H16" s="18" t="n">
        <f aca="false">((20848*2)*'Absolute values'!H17)/('Absolute values'!$B$27+'Absolute values'!$B$28)</f>
        <v>1984.47382337388</v>
      </c>
      <c r="I16" s="18" t="n">
        <f aca="false">((20848*2)*'Absolute values'!I17)/('Absolute values'!$B$27+'Absolute values'!$B$28)</f>
        <v>1763.97673188789</v>
      </c>
      <c r="J16" s="18" t="n">
        <f aca="false">((20848*2)*'Absolute values'!J17)/('Absolute values'!$B$27+'Absolute values'!$B$28)</f>
        <v>881.988365943945</v>
      </c>
      <c r="K16" s="18" t="n">
        <f aca="false">((20848*2)*'Absolute values'!K17)/('Absolute values'!$B$27+'Absolute values'!$B$28)</f>
        <v>2425.46800634585</v>
      </c>
      <c r="L16" s="18" t="n">
        <f aca="false">((20848*2)*'Absolute values'!L17)/('Absolute values'!$B$27+'Absolute values'!$B$28)</f>
        <v>3086.95928080381</v>
      </c>
      <c r="M16" s="18" t="n">
        <f aca="false">((20848*2)*'Absolute values'!M17)/('Absolute values'!$B$27+'Absolute values'!$B$28)</f>
        <v>661.491274457959</v>
      </c>
      <c r="N16" s="18" t="n">
        <f aca="false">((20848*2)*'Absolute values'!N17)/('Absolute values'!$B$27+'Absolute values'!$B$28)</f>
        <v>1984.47382337388</v>
      </c>
      <c r="O16" s="18" t="n">
        <f aca="false">((20848*2)*'Absolute values'!O17)/('Absolute values'!$B$27+'Absolute values'!$B$28)</f>
        <v>1543.4796404019</v>
      </c>
      <c r="P16" s="18" t="n">
        <f aca="false">((20848*2)*'Absolute values'!P17)/('Absolute values'!$B$27+'Absolute values'!$B$28)</f>
        <v>2204.97091485986</v>
      </c>
      <c r="Q16" s="18" t="n">
        <f aca="false">((20848*2)*'Absolute values'!Q17)/('Absolute values'!$B$27+'Absolute values'!$B$28)</f>
        <v>881.988365943945</v>
      </c>
      <c r="R16" s="18" t="n">
        <f aca="false">((20848*2)*'Absolute values'!R17)/('Absolute values'!$B$27+'Absolute values'!$B$28)</f>
        <v>440.994182971973</v>
      </c>
      <c r="S16" s="18" t="n">
        <f aca="false">((20848*2)*'Absolute values'!S17)/('Absolute values'!$B$27+'Absolute values'!$B$28)</f>
        <v>7937.89529349551</v>
      </c>
      <c r="T16" s="18" t="n">
        <f aca="false">((20848*2)*'Absolute values'!T17)/('Absolute values'!$B$27+'Absolute values'!$B$28)</f>
        <v>9701.87202538339</v>
      </c>
      <c r="U16" s="18" t="n">
        <f aca="false">((20848*2)*'Absolute values'!U17)/('Absolute values'!$B$27+'Absolute values'!$B$28)</f>
        <v>10363.3632998414</v>
      </c>
      <c r="V16" s="18" t="n">
        <f aca="false">((20848*2)*'Absolute values'!V17)/('Absolute values'!$B$27+'Absolute values'!$B$28)</f>
        <v>6614.91274457959</v>
      </c>
      <c r="W16" s="18" t="n">
        <f aca="false">((20848*2)*'Absolute values'!W17)/('Absolute values'!$B$27+'Absolute values'!$B$28)</f>
        <v>18962.7498677948</v>
      </c>
      <c r="X16" s="18" t="n">
        <f aca="false">((20848*2)*'Absolute values'!X17)/('Absolute values'!$B$27+'Absolute values'!$B$28)</f>
        <v>27562.1364357483</v>
      </c>
      <c r="Y16" s="18" t="n">
        <f aca="false">((20848*2)*'Absolute values'!Y17)/('Absolute values'!$B$27+'Absolute values'!$B$28)</f>
        <v>21829.2120571126</v>
      </c>
      <c r="Z16" s="18" t="n">
        <f aca="false">((20848*2)*'Absolute values'!Z17)/('Absolute values'!$B$27+'Absolute values'!$B$28)</f>
        <v>26680.1480698043</v>
      </c>
      <c r="AA16" s="18" t="n">
        <f aca="false">((20848*2)*'Absolute values'!AA17)/('Absolute values'!$B$27+'Absolute values'!$B$28)</f>
        <v>36161.5230037017</v>
      </c>
      <c r="AB16" s="18" t="n">
        <f aca="false">((20848*2)*'Absolute values'!AB17)/('Absolute values'!$B$27+'Absolute values'!$B$28)</f>
        <v>18962.7498677948</v>
      </c>
      <c r="AC16" s="18" t="n">
        <f aca="false">((20848*2)*'Absolute values'!AC17)/('Absolute values'!$B$27+'Absolute values'!$B$28)</f>
        <v>20947.2236911687</v>
      </c>
      <c r="AD16" s="18" t="n">
        <f aca="false">((20848*2)*'Absolute values'!AD17)/('Absolute values'!$B$27+'Absolute values'!$B$28)</f>
        <v>1102.48545742993</v>
      </c>
      <c r="AE16" s="18" t="n">
        <f aca="false">((20848*2)*'Absolute values'!AE17)/('Absolute values'!$B$27+'Absolute values'!$B$28)</f>
        <v>881.988365943945</v>
      </c>
      <c r="AF16" s="18" t="n">
        <f aca="false">((20848*2)*'Absolute values'!AF17)/('Absolute values'!$B$27+'Absolute values'!$B$28)</f>
        <v>7055.90692755156</v>
      </c>
      <c r="AG16" s="18" t="n">
        <f aca="false">((20848*2)*'Absolute values'!AG17)/('Absolute values'!$B$27+'Absolute values'!$B$28)</f>
        <v>6173.91856160762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2"/>
      <c r="AU16" s="22"/>
      <c r="AV16" s="22"/>
      <c r="AW16" s="22"/>
      <c r="AX16" s="22"/>
    </row>
    <row r="17" s="1" customFormat="true" ht="15" hidden="false" customHeight="false" outlineLevel="0" collapsed="false">
      <c r="A17" s="17" t="s">
        <v>58</v>
      </c>
      <c r="B17" s="18" t="n">
        <f aca="false">((20848*2)*'Absolute values'!B18)/('Absolute values'!$B$27+'Absolute values'!$B$28)</f>
        <v>0</v>
      </c>
      <c r="C17" s="18" t="n">
        <f aca="false">((20848*2)*'Absolute values'!C18)/('Absolute values'!$B$27+'Absolute values'!$B$28)</f>
        <v>0</v>
      </c>
      <c r="D17" s="18" t="n">
        <f aca="false">((20848*2)*'Absolute values'!D18)/('Absolute values'!$B$27+'Absolute values'!$B$28)</f>
        <v>440.994182971973</v>
      </c>
      <c r="E17" s="18" t="n">
        <f aca="false">((20848*2)*'Absolute values'!E18)/('Absolute values'!$B$27+'Absolute values'!$B$28)</f>
        <v>220.497091485986</v>
      </c>
      <c r="F17" s="18" t="n">
        <f aca="false">((20848*2)*'Absolute values'!F18)/('Absolute values'!$B$27+'Absolute values'!$B$28)</f>
        <v>881.988365943945</v>
      </c>
      <c r="G17" s="18" t="n">
        <f aca="false">((20848*2)*'Absolute values'!G18)/('Absolute values'!$B$27+'Absolute values'!$B$28)</f>
        <v>0</v>
      </c>
      <c r="H17" s="18" t="n">
        <f aca="false">((20848*2)*'Absolute values'!H18)/('Absolute values'!$B$27+'Absolute values'!$B$28)</f>
        <v>881.988365943945</v>
      </c>
      <c r="I17" s="18" t="n">
        <f aca="false">((20848*2)*'Absolute values'!I18)/('Absolute values'!$B$27+'Absolute values'!$B$28)</f>
        <v>220.497091485986</v>
      </c>
      <c r="J17" s="18" t="n">
        <f aca="false">((20848*2)*'Absolute values'!J18)/('Absolute values'!$B$27+'Absolute values'!$B$28)</f>
        <v>0</v>
      </c>
      <c r="K17" s="18" t="n">
        <f aca="false">((20848*2)*'Absolute values'!K18)/('Absolute values'!$B$27+'Absolute values'!$B$28)</f>
        <v>0</v>
      </c>
      <c r="L17" s="18" t="n">
        <f aca="false">((20848*2)*'Absolute values'!L18)/('Absolute values'!$B$27+'Absolute values'!$B$28)</f>
        <v>220.497091485986</v>
      </c>
      <c r="M17" s="18" t="n">
        <f aca="false">((20848*2)*'Absolute values'!M18)/('Absolute values'!$B$27+'Absolute values'!$B$28)</f>
        <v>0</v>
      </c>
      <c r="N17" s="18" t="n">
        <f aca="false">((20848*2)*'Absolute values'!N18)/('Absolute values'!$B$27+'Absolute values'!$B$28)</f>
        <v>0</v>
      </c>
      <c r="O17" s="18" t="n">
        <f aca="false">((20848*2)*'Absolute values'!O18)/('Absolute values'!$B$27+'Absolute values'!$B$28)</f>
        <v>0</v>
      </c>
      <c r="P17" s="18" t="n">
        <f aca="false">((20848*2)*'Absolute values'!P18)/('Absolute values'!$B$27+'Absolute values'!$B$28)</f>
        <v>220.497091485986</v>
      </c>
      <c r="Q17" s="18" t="n">
        <f aca="false">((20848*2)*'Absolute values'!Q18)/('Absolute values'!$B$27+'Absolute values'!$B$28)</f>
        <v>0</v>
      </c>
      <c r="R17" s="18" t="n">
        <f aca="false">((20848*2)*'Absolute values'!R18)/('Absolute values'!$B$27+'Absolute values'!$B$28)</f>
        <v>0</v>
      </c>
      <c r="S17" s="18" t="n">
        <f aca="false">((20848*2)*'Absolute values'!S18)/('Absolute values'!$B$27+'Absolute values'!$B$28)</f>
        <v>220.497091485986</v>
      </c>
      <c r="T17" s="18" t="n">
        <f aca="false">((20848*2)*'Absolute values'!T18)/('Absolute values'!$B$27+'Absolute values'!$B$28)</f>
        <v>0</v>
      </c>
      <c r="U17" s="18" t="n">
        <f aca="false">((20848*2)*'Absolute values'!U18)/('Absolute values'!$B$27+'Absolute values'!$B$28)</f>
        <v>0</v>
      </c>
      <c r="V17" s="18" t="n">
        <f aca="false">((20848*2)*'Absolute values'!V18)/('Absolute values'!$B$27+'Absolute values'!$B$28)</f>
        <v>220.497091485986</v>
      </c>
      <c r="W17" s="18" t="n">
        <f aca="false">((20848*2)*'Absolute values'!W18)/('Absolute values'!$B$27+'Absolute values'!$B$28)</f>
        <v>0</v>
      </c>
      <c r="X17" s="18" t="n">
        <f aca="false">((20848*2)*'Absolute values'!X18)/('Absolute values'!$B$27+'Absolute values'!$B$28)</f>
        <v>0</v>
      </c>
      <c r="Y17" s="18" t="n">
        <f aca="false">((20848*2)*'Absolute values'!Y18)/('Absolute values'!$B$27+'Absolute values'!$B$28)</f>
        <v>0</v>
      </c>
      <c r="Z17" s="18" t="n">
        <f aca="false">((20848*2)*'Absolute values'!Z18)/('Absolute values'!$B$27+'Absolute values'!$B$28)</f>
        <v>220.497091485986</v>
      </c>
      <c r="AA17" s="18" t="n">
        <f aca="false">((20848*2)*'Absolute values'!AA18)/('Absolute values'!$B$27+'Absolute values'!$B$28)</f>
        <v>0</v>
      </c>
      <c r="AB17" s="18" t="n">
        <f aca="false">((20848*2)*'Absolute values'!AB18)/('Absolute values'!$B$27+'Absolute values'!$B$28)</f>
        <v>0</v>
      </c>
      <c r="AC17" s="18" t="n">
        <f aca="false">((20848*2)*'Absolute values'!AC18)/('Absolute values'!$B$27+'Absolute values'!$B$28)</f>
        <v>0</v>
      </c>
      <c r="AD17" s="18" t="n">
        <f aca="false">((20848*2)*'Absolute values'!AD18)/('Absolute values'!$B$27+'Absolute values'!$B$28)</f>
        <v>0</v>
      </c>
      <c r="AE17" s="18" t="n">
        <f aca="false">((20848*2)*'Absolute values'!AE18)/('Absolute values'!$B$27+'Absolute values'!$B$28)</f>
        <v>0</v>
      </c>
      <c r="AF17" s="18" t="n">
        <f aca="false">((20848*2)*'Absolute values'!AF18)/('Absolute values'!$B$27+'Absolute values'!$B$28)</f>
        <v>0</v>
      </c>
      <c r="AG17" s="18" t="n">
        <f aca="false">((20848*2)*'Absolute values'!AG18)/('Absolute values'!$B$27+'Absolute values'!$B$28)</f>
        <v>0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25"/>
      <c r="AR17" s="25"/>
      <c r="AS17" s="25"/>
      <c r="AT17" s="26"/>
      <c r="AU17" s="26"/>
      <c r="AV17" s="26"/>
      <c r="AW17" s="26"/>
      <c r="AX17" s="26"/>
    </row>
    <row r="18" s="1" customFormat="true" ht="15" hidden="false" customHeight="false" outlineLevel="0" collapsed="false">
      <c r="A18" s="34" t="s">
        <v>59</v>
      </c>
      <c r="B18" s="18" t="n">
        <f aca="false">((20848*2)*'Absolute values'!B19)/('Absolute values'!$B$27+'Absolute values'!$B$28)</f>
        <v>3307.45637228979</v>
      </c>
      <c r="C18" s="18" t="n">
        <f aca="false">((20848*2)*'Absolute values'!C19)/('Absolute values'!$B$27+'Absolute values'!$B$28)</f>
        <v>1102.48545742993</v>
      </c>
      <c r="D18" s="18" t="n">
        <f aca="false">((20848*2)*'Absolute values'!D19)/('Absolute values'!$B$27+'Absolute values'!$B$28)</f>
        <v>3968.94764674775</v>
      </c>
      <c r="E18" s="18" t="n">
        <f aca="false">((20848*2)*'Absolute values'!E19)/('Absolute values'!$B$27+'Absolute values'!$B$28)</f>
        <v>3307.45637228979</v>
      </c>
      <c r="F18" s="18" t="n">
        <f aca="false">((20848*2)*'Absolute values'!F19)/('Absolute values'!$B$27+'Absolute values'!$B$28)</f>
        <v>1984.47382337388</v>
      </c>
      <c r="G18" s="18" t="n">
        <f aca="false">((20848*2)*'Absolute values'!G19)/('Absolute values'!$B$27+'Absolute values'!$B$28)</f>
        <v>5953.42147012163</v>
      </c>
      <c r="H18" s="18" t="n">
        <f aca="false">((20848*2)*'Absolute values'!H19)/('Absolute values'!$B$27+'Absolute values'!$B$28)</f>
        <v>1984.47382337388</v>
      </c>
      <c r="I18" s="18" t="n">
        <f aca="false">((20848*2)*'Absolute values'!I19)/('Absolute values'!$B$27+'Absolute values'!$B$28)</f>
        <v>440.994182971973</v>
      </c>
      <c r="J18" s="18" t="n">
        <f aca="false">((20848*2)*'Absolute values'!J19)/('Absolute values'!$B$27+'Absolute values'!$B$28)</f>
        <v>1322.98254891592</v>
      </c>
      <c r="K18" s="18" t="n">
        <f aca="false">((20848*2)*'Absolute values'!K19)/('Absolute values'!$B$27+'Absolute values'!$B$28)</f>
        <v>661.491274457959</v>
      </c>
      <c r="L18" s="18" t="n">
        <f aca="false">((20848*2)*'Absolute values'!L19)/('Absolute values'!$B$27+'Absolute values'!$B$28)</f>
        <v>1322.98254891592</v>
      </c>
      <c r="M18" s="18" t="n">
        <f aca="false">((20848*2)*'Absolute values'!M19)/('Absolute values'!$B$27+'Absolute values'!$B$28)</f>
        <v>0</v>
      </c>
      <c r="N18" s="18" t="n">
        <f aca="false">((20848*2)*'Absolute values'!N19)/('Absolute values'!$B$27+'Absolute values'!$B$28)</f>
        <v>881.988365943945</v>
      </c>
      <c r="O18" s="18" t="n">
        <f aca="false">((20848*2)*'Absolute values'!O19)/('Absolute values'!$B$27+'Absolute values'!$B$28)</f>
        <v>440.994182971973</v>
      </c>
      <c r="P18" s="18" t="n">
        <f aca="false">((20848*2)*'Absolute values'!P19)/('Absolute values'!$B$27+'Absolute values'!$B$28)</f>
        <v>440.994182971973</v>
      </c>
      <c r="Q18" s="18" t="n">
        <f aca="false">((20848*2)*'Absolute values'!Q19)/('Absolute values'!$B$27+'Absolute values'!$B$28)</f>
        <v>0</v>
      </c>
      <c r="R18" s="18" t="n">
        <f aca="false">((20848*2)*'Absolute values'!R19)/('Absolute values'!$B$27+'Absolute values'!$B$28)</f>
        <v>0</v>
      </c>
      <c r="S18" s="18" t="n">
        <f aca="false">((20848*2)*'Absolute values'!S19)/('Absolute values'!$B$27+'Absolute values'!$B$28)</f>
        <v>1322.98254891592</v>
      </c>
      <c r="T18" s="18" t="n">
        <f aca="false">((20848*2)*'Absolute values'!T19)/('Absolute values'!$B$27+'Absolute values'!$B$28)</f>
        <v>220.497091485986</v>
      </c>
      <c r="U18" s="18" t="n">
        <f aca="false">((20848*2)*'Absolute values'!U19)/('Absolute values'!$B$27+'Absolute values'!$B$28)</f>
        <v>1102.48545742993</v>
      </c>
      <c r="V18" s="18" t="n">
        <f aca="false">((20848*2)*'Absolute values'!V19)/('Absolute values'!$B$27+'Absolute values'!$B$28)</f>
        <v>2204.97091485986</v>
      </c>
      <c r="W18" s="18" t="n">
        <f aca="false">((20848*2)*'Absolute values'!W19)/('Absolute values'!$B$27+'Absolute values'!$B$28)</f>
        <v>2425.46800634585</v>
      </c>
      <c r="X18" s="18" t="n">
        <f aca="false">((20848*2)*'Absolute values'!X19)/('Absolute values'!$B$27+'Absolute values'!$B$28)</f>
        <v>1984.47382337388</v>
      </c>
      <c r="Y18" s="18" t="n">
        <f aca="false">((20848*2)*'Absolute values'!Y19)/('Absolute values'!$B$27+'Absolute values'!$B$28)</f>
        <v>2645.96509783184</v>
      </c>
      <c r="Z18" s="18" t="n">
        <f aca="false">((20848*2)*'Absolute values'!Z19)/('Absolute values'!$B$27+'Absolute values'!$B$28)</f>
        <v>1984.47382337388</v>
      </c>
      <c r="AA18" s="18" t="n">
        <f aca="false">((20848*2)*'Absolute values'!AA19)/('Absolute values'!$B$27+'Absolute values'!$B$28)</f>
        <v>5953.42147012163</v>
      </c>
      <c r="AB18" s="18" t="n">
        <f aca="false">((20848*2)*'Absolute values'!AB19)/('Absolute values'!$B$27+'Absolute values'!$B$28)</f>
        <v>2866.46218931782</v>
      </c>
      <c r="AC18" s="18" t="n">
        <f aca="false">((20848*2)*'Absolute values'!AC19)/('Absolute values'!$B$27+'Absolute values'!$B$28)</f>
        <v>4189.44473823374</v>
      </c>
      <c r="AD18" s="18" t="n">
        <f aca="false">((20848*2)*'Absolute values'!AD19)/('Absolute values'!$B$27+'Absolute values'!$B$28)</f>
        <v>0</v>
      </c>
      <c r="AE18" s="18" t="n">
        <f aca="false">((20848*2)*'Absolute values'!AE19)/('Absolute values'!$B$27+'Absolute values'!$B$28)</f>
        <v>0</v>
      </c>
      <c r="AF18" s="18" t="n">
        <f aca="false">((20848*2)*'Absolute values'!AF19)/('Absolute values'!$B$27+'Absolute values'!$B$28)</f>
        <v>881.988365943945</v>
      </c>
      <c r="AG18" s="18" t="n">
        <f aca="false">((20848*2)*'Absolute values'!AG19)/('Absolute values'!$B$27+'Absolute values'!$B$28)</f>
        <v>1322.98254891592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25"/>
      <c r="AR18" s="25"/>
      <c r="AS18" s="25"/>
      <c r="AT18" s="26"/>
      <c r="AU18" s="26"/>
      <c r="AV18" s="26"/>
      <c r="AW18" s="26"/>
      <c r="AX18" s="26"/>
    </row>
    <row r="19" s="1" customFormat="true" ht="15" hidden="false" customHeight="false" outlineLevel="0" collapsed="false">
      <c r="A19" s="34" t="s">
        <v>60</v>
      </c>
      <c r="B19" s="18" t="n">
        <f aca="false">((20848*2)*'Absolute values'!B20)/('Absolute values'!$B$27+'Absolute values'!$B$28)</f>
        <v>0</v>
      </c>
      <c r="C19" s="18" t="n">
        <f aca="false">((20848*2)*'Absolute values'!C20)/('Absolute values'!$B$27+'Absolute values'!$B$28)</f>
        <v>0</v>
      </c>
      <c r="D19" s="18" t="n">
        <f aca="false">((20848*2)*'Absolute values'!D20)/('Absolute values'!$B$27+'Absolute values'!$B$28)</f>
        <v>0</v>
      </c>
      <c r="E19" s="18" t="n">
        <f aca="false">((20848*2)*'Absolute values'!E20)/('Absolute values'!$B$27+'Absolute values'!$B$28)</f>
        <v>0</v>
      </c>
      <c r="F19" s="18" t="n">
        <f aca="false">((20848*2)*'Absolute values'!F20)/('Absolute values'!$B$27+'Absolute values'!$B$28)</f>
        <v>0</v>
      </c>
      <c r="G19" s="18" t="n">
        <f aca="false">((20848*2)*'Absolute values'!G20)/('Absolute values'!$B$27+'Absolute values'!$B$28)</f>
        <v>0</v>
      </c>
      <c r="H19" s="18" t="n">
        <f aca="false">((20848*2)*'Absolute values'!H20)/('Absolute values'!$B$27+'Absolute values'!$B$28)</f>
        <v>0</v>
      </c>
      <c r="I19" s="18" t="n">
        <f aca="false">((20848*2)*'Absolute values'!I20)/('Absolute values'!$B$27+'Absolute values'!$B$28)</f>
        <v>0</v>
      </c>
      <c r="J19" s="18" t="n">
        <f aca="false">((20848*2)*'Absolute values'!J20)/('Absolute values'!$B$27+'Absolute values'!$B$28)</f>
        <v>0</v>
      </c>
      <c r="K19" s="18" t="n">
        <f aca="false">((20848*2)*'Absolute values'!K20)/('Absolute values'!$B$27+'Absolute values'!$B$28)</f>
        <v>0</v>
      </c>
      <c r="L19" s="18" t="n">
        <f aca="false">((20848*2)*'Absolute values'!L20)/('Absolute values'!$B$27+'Absolute values'!$B$28)</f>
        <v>0</v>
      </c>
      <c r="M19" s="18" t="n">
        <f aca="false">((20848*2)*'Absolute values'!M20)/('Absolute values'!$B$27+'Absolute values'!$B$28)</f>
        <v>0</v>
      </c>
      <c r="N19" s="18" t="n">
        <f aca="false">((20848*2)*'Absolute values'!N20)/('Absolute values'!$B$27+'Absolute values'!$B$28)</f>
        <v>0</v>
      </c>
      <c r="O19" s="18" t="n">
        <f aca="false">((20848*2)*'Absolute values'!O20)/('Absolute values'!$B$27+'Absolute values'!$B$28)</f>
        <v>0</v>
      </c>
      <c r="P19" s="18" t="n">
        <f aca="false">((20848*2)*'Absolute values'!P20)/('Absolute values'!$B$27+'Absolute values'!$B$28)</f>
        <v>0</v>
      </c>
      <c r="Q19" s="18" t="n">
        <f aca="false">((20848*2)*'Absolute values'!Q20)/('Absolute values'!$B$27+'Absolute values'!$B$28)</f>
        <v>0</v>
      </c>
      <c r="R19" s="18" t="n">
        <f aca="false">((20848*2)*'Absolute values'!R20)/('Absolute values'!$B$27+'Absolute values'!$B$28)</f>
        <v>0</v>
      </c>
      <c r="S19" s="18" t="n">
        <f aca="false">((20848*2)*'Absolute values'!S20)/('Absolute values'!$B$27+'Absolute values'!$B$28)</f>
        <v>0</v>
      </c>
      <c r="T19" s="18" t="n">
        <f aca="false">((20848*2)*'Absolute values'!T20)/('Absolute values'!$B$27+'Absolute values'!$B$28)</f>
        <v>0</v>
      </c>
      <c r="U19" s="18" t="n">
        <f aca="false">((20848*2)*'Absolute values'!U20)/('Absolute values'!$B$27+'Absolute values'!$B$28)</f>
        <v>0</v>
      </c>
      <c r="V19" s="18" t="n">
        <f aca="false">((20848*2)*'Absolute values'!V20)/('Absolute values'!$B$27+'Absolute values'!$B$28)</f>
        <v>220.497091485986</v>
      </c>
      <c r="W19" s="18" t="n">
        <f aca="false">((20848*2)*'Absolute values'!W20)/('Absolute values'!$B$27+'Absolute values'!$B$28)</f>
        <v>0</v>
      </c>
      <c r="X19" s="18" t="n">
        <f aca="false">((20848*2)*'Absolute values'!X20)/('Absolute values'!$B$27+'Absolute values'!$B$28)</f>
        <v>0</v>
      </c>
      <c r="Y19" s="18" t="n">
        <f aca="false">((20848*2)*'Absolute values'!Y20)/('Absolute values'!$B$27+'Absolute values'!$B$28)</f>
        <v>0</v>
      </c>
      <c r="Z19" s="18" t="n">
        <f aca="false">((20848*2)*'Absolute values'!Z20)/('Absolute values'!$B$27+'Absolute values'!$B$28)</f>
        <v>0</v>
      </c>
      <c r="AA19" s="18" t="n">
        <f aca="false">((20848*2)*'Absolute values'!AA20)/('Absolute values'!$B$27+'Absolute values'!$B$28)</f>
        <v>0</v>
      </c>
      <c r="AB19" s="18" t="n">
        <f aca="false">((20848*2)*'Absolute values'!AB20)/('Absolute values'!$B$27+'Absolute values'!$B$28)</f>
        <v>0</v>
      </c>
      <c r="AC19" s="18" t="n">
        <f aca="false">((20848*2)*'Absolute values'!AC20)/('Absolute values'!$B$27+'Absolute values'!$B$28)</f>
        <v>0</v>
      </c>
      <c r="AD19" s="18" t="n">
        <f aca="false">((20848*2)*'Absolute values'!AD20)/('Absolute values'!$B$27+'Absolute values'!$B$28)</f>
        <v>0</v>
      </c>
      <c r="AE19" s="18" t="n">
        <f aca="false">((20848*2)*'Absolute values'!AE20)/('Absolute values'!$B$27+'Absolute values'!$B$28)</f>
        <v>0</v>
      </c>
      <c r="AF19" s="18" t="n">
        <f aca="false">((20848*2)*'Absolute values'!AF20)/('Absolute values'!$B$27+'Absolute values'!$B$28)</f>
        <v>0</v>
      </c>
      <c r="AG19" s="18" t="n">
        <f aca="false">((20848*2)*'Absolute values'!AG20)/('Absolute values'!$B$27+'Absolute values'!$B$28)</f>
        <v>0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25"/>
      <c r="AR19" s="25"/>
      <c r="AS19" s="25"/>
      <c r="AT19" s="26"/>
      <c r="AU19" s="26"/>
      <c r="AV19" s="26"/>
      <c r="AW19" s="26"/>
      <c r="AX19" s="26"/>
    </row>
    <row r="20" s="1" customFormat="true" ht="15" hidden="false" customHeight="false" outlineLevel="0" collapsed="false">
      <c r="A20" s="34" t="s">
        <v>61</v>
      </c>
      <c r="B20" s="18" t="n">
        <f aca="false">((20848*2)*'Absolute values'!B21)/('Absolute values'!$B$27+'Absolute values'!$B$28)</f>
        <v>0</v>
      </c>
      <c r="C20" s="18" t="n">
        <f aca="false">((20848*2)*'Absolute values'!C21)/('Absolute values'!$B$27+'Absolute values'!$B$28)</f>
        <v>0</v>
      </c>
      <c r="D20" s="18" t="n">
        <f aca="false">((20848*2)*'Absolute values'!D21)/('Absolute values'!$B$27+'Absolute values'!$B$28)</f>
        <v>0</v>
      </c>
      <c r="E20" s="18" t="n">
        <f aca="false">((20848*2)*'Absolute values'!E21)/('Absolute values'!$B$27+'Absolute values'!$B$28)</f>
        <v>0</v>
      </c>
      <c r="F20" s="18" t="n">
        <f aca="false">((20848*2)*'Absolute values'!F21)/('Absolute values'!$B$27+'Absolute values'!$B$28)</f>
        <v>0</v>
      </c>
      <c r="G20" s="18" t="n">
        <f aca="false">((20848*2)*'Absolute values'!G21)/('Absolute values'!$B$27+'Absolute values'!$B$28)</f>
        <v>0</v>
      </c>
      <c r="H20" s="18" t="n">
        <f aca="false">((20848*2)*'Absolute values'!H21)/('Absolute values'!$B$27+'Absolute values'!$B$28)</f>
        <v>0</v>
      </c>
      <c r="I20" s="18" t="n">
        <f aca="false">((20848*2)*'Absolute values'!I21)/('Absolute values'!$B$27+'Absolute values'!$B$28)</f>
        <v>0</v>
      </c>
      <c r="J20" s="18" t="n">
        <f aca="false">((20848*2)*'Absolute values'!J21)/('Absolute values'!$B$27+'Absolute values'!$B$28)</f>
        <v>0</v>
      </c>
      <c r="K20" s="18" t="n">
        <f aca="false">((20848*2)*'Absolute values'!K21)/('Absolute values'!$B$27+'Absolute values'!$B$28)</f>
        <v>0</v>
      </c>
      <c r="L20" s="18" t="n">
        <f aca="false">((20848*2)*'Absolute values'!L21)/('Absolute values'!$B$27+'Absolute values'!$B$28)</f>
        <v>0</v>
      </c>
      <c r="M20" s="18" t="n">
        <f aca="false">((20848*2)*'Absolute values'!M21)/('Absolute values'!$B$27+'Absolute values'!$B$28)</f>
        <v>0</v>
      </c>
      <c r="N20" s="18" t="n">
        <f aca="false">((20848*2)*'Absolute values'!N21)/('Absolute values'!$B$27+'Absolute values'!$B$28)</f>
        <v>0</v>
      </c>
      <c r="O20" s="18" t="n">
        <f aca="false">((20848*2)*'Absolute values'!O21)/('Absolute values'!$B$27+'Absolute values'!$B$28)</f>
        <v>0</v>
      </c>
      <c r="P20" s="18" t="n">
        <f aca="false">((20848*2)*'Absolute values'!P21)/('Absolute values'!$B$27+'Absolute values'!$B$28)</f>
        <v>0</v>
      </c>
      <c r="Q20" s="18" t="n">
        <f aca="false">((20848*2)*'Absolute values'!Q21)/('Absolute values'!$B$27+'Absolute values'!$B$28)</f>
        <v>0</v>
      </c>
      <c r="R20" s="18" t="n">
        <f aca="false">((20848*2)*'Absolute values'!R21)/('Absolute values'!$B$27+'Absolute values'!$B$28)</f>
        <v>0</v>
      </c>
      <c r="S20" s="18" t="n">
        <f aca="false">((20848*2)*'Absolute values'!S21)/('Absolute values'!$B$27+'Absolute values'!$B$28)</f>
        <v>0</v>
      </c>
      <c r="T20" s="18" t="n">
        <f aca="false">((20848*2)*'Absolute values'!T21)/('Absolute values'!$B$27+'Absolute values'!$B$28)</f>
        <v>0</v>
      </c>
      <c r="U20" s="18" t="n">
        <f aca="false">((20848*2)*'Absolute values'!U21)/('Absolute values'!$B$27+'Absolute values'!$B$28)</f>
        <v>0</v>
      </c>
      <c r="V20" s="18" t="n">
        <f aca="false">((20848*2)*'Absolute values'!V21)/('Absolute values'!$B$27+'Absolute values'!$B$28)</f>
        <v>0</v>
      </c>
      <c r="W20" s="18" t="n">
        <f aca="false">((20848*2)*'Absolute values'!W21)/('Absolute values'!$B$27+'Absolute values'!$B$28)</f>
        <v>0</v>
      </c>
      <c r="X20" s="18" t="n">
        <f aca="false">((20848*2)*'Absolute values'!X21)/('Absolute values'!$B$27+'Absolute values'!$B$28)</f>
        <v>0</v>
      </c>
      <c r="Y20" s="18" t="n">
        <f aca="false">((20848*2)*'Absolute values'!Y21)/('Absolute values'!$B$27+'Absolute values'!$B$28)</f>
        <v>0</v>
      </c>
      <c r="Z20" s="18" t="n">
        <f aca="false">((20848*2)*'Absolute values'!Z21)/('Absolute values'!$B$27+'Absolute values'!$B$28)</f>
        <v>0</v>
      </c>
      <c r="AA20" s="18" t="n">
        <f aca="false">((20848*2)*'Absolute values'!AA21)/('Absolute values'!$B$27+'Absolute values'!$B$28)</f>
        <v>220.497091485986</v>
      </c>
      <c r="AB20" s="18" t="n">
        <f aca="false">((20848*2)*'Absolute values'!AB21)/('Absolute values'!$B$27+'Absolute values'!$B$28)</f>
        <v>0</v>
      </c>
      <c r="AC20" s="18" t="n">
        <f aca="false">((20848*2)*'Absolute values'!AC21)/('Absolute values'!$B$27+'Absolute values'!$B$28)</f>
        <v>0</v>
      </c>
      <c r="AD20" s="18" t="n">
        <f aca="false">((20848*2)*'Absolute values'!AD21)/('Absolute values'!$B$27+'Absolute values'!$B$28)</f>
        <v>0</v>
      </c>
      <c r="AE20" s="18" t="n">
        <f aca="false">((20848*2)*'Absolute values'!AE21)/('Absolute values'!$B$27+'Absolute values'!$B$28)</f>
        <v>0</v>
      </c>
      <c r="AF20" s="18" t="n">
        <f aca="false">((20848*2)*'Absolute values'!AF21)/('Absolute values'!$B$27+'Absolute values'!$B$28)</f>
        <v>0</v>
      </c>
      <c r="AG20" s="18" t="n">
        <f aca="false">((20848*2)*'Absolute values'!AG21)/('Absolute values'!$B$27+'Absolute values'!$B$28)</f>
        <v>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2"/>
      <c r="AU20" s="22"/>
      <c r="AV20" s="22"/>
      <c r="AW20" s="22"/>
      <c r="AX20" s="22"/>
    </row>
    <row r="21" s="1" customFormat="true" ht="15" hidden="false" customHeight="false" outlineLevel="0" collapsed="false">
      <c r="A21" s="17" t="s">
        <v>62</v>
      </c>
      <c r="B21" s="18" t="n">
        <f aca="false">((20848*2)*'Absolute values'!B22)/('Absolute values'!$B$27+'Absolute values'!$B$28)</f>
        <v>661.491274457959</v>
      </c>
      <c r="C21" s="18" t="n">
        <f aca="false">((20848*2)*'Absolute values'!C22)/('Absolute values'!$B$27+'Absolute values'!$B$28)</f>
        <v>881.988365943945</v>
      </c>
      <c r="D21" s="18" t="n">
        <f aca="false">((20848*2)*'Absolute values'!D22)/('Absolute values'!$B$27+'Absolute values'!$B$28)</f>
        <v>440.994182971973</v>
      </c>
      <c r="E21" s="18" t="n">
        <f aca="false">((20848*2)*'Absolute values'!E22)/('Absolute values'!$B$27+'Absolute values'!$B$28)</f>
        <v>661.491274457959</v>
      </c>
      <c r="F21" s="18" t="n">
        <f aca="false">((20848*2)*'Absolute values'!F22)/('Absolute values'!$B$27+'Absolute values'!$B$28)</f>
        <v>2645.96509783184</v>
      </c>
      <c r="G21" s="18" t="n">
        <f aca="false">((20848*2)*'Absolute values'!G22)/('Absolute values'!$B$27+'Absolute values'!$B$28)</f>
        <v>2645.96509783184</v>
      </c>
      <c r="H21" s="18" t="n">
        <f aca="false">((20848*2)*'Absolute values'!H22)/('Absolute values'!$B$27+'Absolute values'!$B$28)</f>
        <v>881.988365943945</v>
      </c>
      <c r="I21" s="18" t="n">
        <f aca="false">((20848*2)*'Absolute values'!I22)/('Absolute values'!$B$27+'Absolute values'!$B$28)</f>
        <v>0</v>
      </c>
      <c r="J21" s="18" t="n">
        <f aca="false">((20848*2)*'Absolute values'!J22)/('Absolute values'!$B$27+'Absolute values'!$B$28)</f>
        <v>0</v>
      </c>
      <c r="K21" s="18" t="n">
        <f aca="false">((20848*2)*'Absolute values'!K22)/('Absolute values'!$B$27+'Absolute values'!$B$28)</f>
        <v>0</v>
      </c>
      <c r="L21" s="18" t="n">
        <f aca="false">((20848*2)*'Absolute values'!L22)/('Absolute values'!$B$27+'Absolute values'!$B$28)</f>
        <v>0</v>
      </c>
      <c r="M21" s="18" t="n">
        <f aca="false">((20848*2)*'Absolute values'!M22)/('Absolute values'!$B$27+'Absolute values'!$B$28)</f>
        <v>0</v>
      </c>
      <c r="N21" s="18" t="n">
        <f aca="false">((20848*2)*'Absolute values'!N22)/('Absolute values'!$B$27+'Absolute values'!$B$28)</f>
        <v>440.994182971973</v>
      </c>
      <c r="O21" s="18" t="n">
        <f aca="false">((20848*2)*'Absolute values'!O22)/('Absolute values'!$B$27+'Absolute values'!$B$28)</f>
        <v>0</v>
      </c>
      <c r="P21" s="18" t="n">
        <f aca="false">((20848*2)*'Absolute values'!P22)/('Absolute values'!$B$27+'Absolute values'!$B$28)</f>
        <v>0</v>
      </c>
      <c r="Q21" s="18" t="n">
        <f aca="false">((20848*2)*'Absolute values'!Q22)/('Absolute values'!$B$27+'Absolute values'!$B$28)</f>
        <v>220.497091485986</v>
      </c>
      <c r="R21" s="18" t="n">
        <f aca="false">((20848*2)*'Absolute values'!R22)/('Absolute values'!$B$27+'Absolute values'!$B$28)</f>
        <v>0</v>
      </c>
      <c r="S21" s="18" t="n">
        <f aca="false">((20848*2)*'Absolute values'!S22)/('Absolute values'!$B$27+'Absolute values'!$B$28)</f>
        <v>661.491274457959</v>
      </c>
      <c r="T21" s="18" t="n">
        <f aca="false">((20848*2)*'Absolute values'!T22)/('Absolute values'!$B$27+'Absolute values'!$B$28)</f>
        <v>0</v>
      </c>
      <c r="U21" s="18" t="n">
        <f aca="false">((20848*2)*'Absolute values'!U22)/('Absolute values'!$B$27+'Absolute values'!$B$28)</f>
        <v>0</v>
      </c>
      <c r="V21" s="18" t="n">
        <f aca="false">((20848*2)*'Absolute values'!V22)/('Absolute values'!$B$27+'Absolute values'!$B$28)</f>
        <v>661.491274457959</v>
      </c>
      <c r="W21" s="18" t="n">
        <f aca="false">((20848*2)*'Absolute values'!W22)/('Absolute values'!$B$27+'Absolute values'!$B$28)</f>
        <v>0</v>
      </c>
      <c r="X21" s="18" t="n">
        <f aca="false">((20848*2)*'Absolute values'!X22)/('Absolute values'!$B$27+'Absolute values'!$B$28)</f>
        <v>440.994182971973</v>
      </c>
      <c r="Y21" s="18" t="n">
        <f aca="false">((20848*2)*'Absolute values'!Y22)/('Absolute values'!$B$27+'Absolute values'!$B$28)</f>
        <v>881.988365943945</v>
      </c>
      <c r="Z21" s="18" t="n">
        <f aca="false">((20848*2)*'Absolute values'!Z22)/('Absolute values'!$B$27+'Absolute values'!$B$28)</f>
        <v>440.994182971973</v>
      </c>
      <c r="AA21" s="18" t="n">
        <f aca="false">((20848*2)*'Absolute values'!AA22)/('Absolute values'!$B$27+'Absolute values'!$B$28)</f>
        <v>661.491274457959</v>
      </c>
      <c r="AB21" s="18" t="n">
        <f aca="false">((20848*2)*'Absolute values'!AB22)/('Absolute values'!$B$27+'Absolute values'!$B$28)</f>
        <v>0</v>
      </c>
      <c r="AC21" s="18" t="n">
        <f aca="false">((20848*2)*'Absolute values'!AC22)/('Absolute values'!$B$27+'Absolute values'!$B$28)</f>
        <v>220.497091485986</v>
      </c>
      <c r="AD21" s="18" t="n">
        <f aca="false">((20848*2)*'Absolute values'!AD22)/('Absolute values'!$B$27+'Absolute values'!$B$28)</f>
        <v>0</v>
      </c>
      <c r="AE21" s="18" t="n">
        <f aca="false">((20848*2)*'Absolute values'!AE22)/('Absolute values'!$B$27+'Absolute values'!$B$28)</f>
        <v>0</v>
      </c>
      <c r="AF21" s="18" t="n">
        <f aca="false">((20848*2)*'Absolute values'!AF22)/('Absolute values'!$B$27+'Absolute values'!$B$28)</f>
        <v>0</v>
      </c>
      <c r="AG21" s="18" t="n">
        <f aca="false">((20848*2)*'Absolute values'!AG22)/('Absolute values'!$B$27+'Absolute values'!$B$28)</f>
        <v>0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25"/>
      <c r="AR21" s="25"/>
      <c r="AS21" s="25"/>
      <c r="AT21" s="26"/>
      <c r="AU21" s="26"/>
      <c r="AV21" s="26"/>
      <c r="AW21" s="26"/>
      <c r="AX21" s="26"/>
    </row>
    <row r="22" s="1" customFormat="true" ht="15" hidden="false" customHeight="false" outlineLevel="0" collapsed="false">
      <c r="A22" s="17" t="s">
        <v>63</v>
      </c>
      <c r="B22" s="18" t="n">
        <f aca="false">((20848*2)*'Absolute values'!B23)/('Absolute values'!$B$27+'Absolute values'!$B$28)</f>
        <v>0</v>
      </c>
      <c r="C22" s="18" t="n">
        <f aca="false">((20848*2)*'Absolute values'!C23)/('Absolute values'!$B$27+'Absolute values'!$B$28)</f>
        <v>0</v>
      </c>
      <c r="D22" s="18" t="n">
        <f aca="false">((20848*2)*'Absolute values'!D23)/('Absolute values'!$B$27+'Absolute values'!$B$28)</f>
        <v>0</v>
      </c>
      <c r="E22" s="18" t="n">
        <f aca="false">((20848*2)*'Absolute values'!E23)/('Absolute values'!$B$27+'Absolute values'!$B$28)</f>
        <v>0</v>
      </c>
      <c r="F22" s="18" t="n">
        <f aca="false">((20848*2)*'Absolute values'!F23)/('Absolute values'!$B$27+'Absolute values'!$B$28)</f>
        <v>0</v>
      </c>
      <c r="G22" s="18" t="n">
        <f aca="false">((20848*2)*'Absolute values'!G23)/('Absolute values'!$B$27+'Absolute values'!$B$28)</f>
        <v>0</v>
      </c>
      <c r="H22" s="18" t="n">
        <f aca="false">((20848*2)*'Absolute values'!H23)/('Absolute values'!$B$27+'Absolute values'!$B$28)</f>
        <v>0</v>
      </c>
      <c r="I22" s="18" t="n">
        <f aca="false">((20848*2)*'Absolute values'!I23)/('Absolute values'!$B$27+'Absolute values'!$B$28)</f>
        <v>0</v>
      </c>
      <c r="J22" s="18" t="n">
        <f aca="false">((20848*2)*'Absolute values'!J23)/('Absolute values'!$B$27+'Absolute values'!$B$28)</f>
        <v>0</v>
      </c>
      <c r="K22" s="18" t="n">
        <f aca="false">((20848*2)*'Absolute values'!K23)/('Absolute values'!$B$27+'Absolute values'!$B$28)</f>
        <v>0</v>
      </c>
      <c r="L22" s="18" t="n">
        <f aca="false">((20848*2)*'Absolute values'!L23)/('Absolute values'!$B$27+'Absolute values'!$B$28)</f>
        <v>0</v>
      </c>
      <c r="M22" s="18" t="n">
        <f aca="false">((20848*2)*'Absolute values'!M23)/('Absolute values'!$B$27+'Absolute values'!$B$28)</f>
        <v>0</v>
      </c>
      <c r="N22" s="18" t="n">
        <f aca="false">((20848*2)*'Absolute values'!N23)/('Absolute values'!$B$27+'Absolute values'!$B$28)</f>
        <v>0</v>
      </c>
      <c r="O22" s="18" t="n">
        <f aca="false">((20848*2)*'Absolute values'!O23)/('Absolute values'!$B$27+'Absolute values'!$B$28)</f>
        <v>0</v>
      </c>
      <c r="P22" s="18" t="n">
        <f aca="false">((20848*2)*'Absolute values'!P23)/('Absolute values'!$B$27+'Absolute values'!$B$28)</f>
        <v>0</v>
      </c>
      <c r="Q22" s="18" t="n">
        <f aca="false">((20848*2)*'Absolute values'!Q23)/('Absolute values'!$B$27+'Absolute values'!$B$28)</f>
        <v>0</v>
      </c>
      <c r="R22" s="18" t="n">
        <f aca="false">((20848*2)*'Absolute values'!R23)/('Absolute values'!$B$27+'Absolute values'!$B$28)</f>
        <v>0</v>
      </c>
      <c r="S22" s="18" t="n">
        <f aca="false">((20848*2)*'Absolute values'!S23)/('Absolute values'!$B$27+'Absolute values'!$B$28)</f>
        <v>0</v>
      </c>
      <c r="T22" s="18" t="n">
        <f aca="false">((20848*2)*'Absolute values'!T23)/('Absolute values'!$B$27+'Absolute values'!$B$28)</f>
        <v>0</v>
      </c>
      <c r="U22" s="18" t="n">
        <f aca="false">((20848*2)*'Absolute values'!U23)/('Absolute values'!$B$27+'Absolute values'!$B$28)</f>
        <v>0</v>
      </c>
      <c r="V22" s="18" t="n">
        <f aca="false">((20848*2)*'Absolute values'!V23)/('Absolute values'!$B$27+'Absolute values'!$B$28)</f>
        <v>0</v>
      </c>
      <c r="W22" s="18" t="n">
        <f aca="false">((20848*2)*'Absolute values'!W23)/('Absolute values'!$B$27+'Absolute values'!$B$28)</f>
        <v>0</v>
      </c>
      <c r="X22" s="18" t="n">
        <f aca="false">((20848*2)*'Absolute values'!X23)/('Absolute values'!$B$27+'Absolute values'!$B$28)</f>
        <v>0</v>
      </c>
      <c r="Y22" s="18" t="n">
        <f aca="false">((20848*2)*'Absolute values'!Y23)/('Absolute values'!$B$27+'Absolute values'!$B$28)</f>
        <v>0</v>
      </c>
      <c r="Z22" s="18" t="n">
        <f aca="false">((20848*2)*'Absolute values'!Z23)/('Absolute values'!$B$27+'Absolute values'!$B$28)</f>
        <v>0</v>
      </c>
      <c r="AA22" s="18" t="n">
        <f aca="false">((20848*2)*'Absolute values'!AA23)/('Absolute values'!$B$27+'Absolute values'!$B$28)</f>
        <v>220.497091485986</v>
      </c>
      <c r="AB22" s="18" t="n">
        <f aca="false">((20848*2)*'Absolute values'!AB23)/('Absolute values'!$B$27+'Absolute values'!$B$28)</f>
        <v>0</v>
      </c>
      <c r="AC22" s="18" t="n">
        <f aca="false">((20848*2)*'Absolute values'!AC23)/('Absolute values'!$B$27+'Absolute values'!$B$28)</f>
        <v>0</v>
      </c>
      <c r="AD22" s="18" t="n">
        <f aca="false">((20848*2)*'Absolute values'!AD23)/('Absolute values'!$B$27+'Absolute values'!$B$28)</f>
        <v>0</v>
      </c>
      <c r="AE22" s="18" t="n">
        <f aca="false">((20848*2)*'Absolute values'!AE23)/('Absolute values'!$B$27+'Absolute values'!$B$28)</f>
        <v>0</v>
      </c>
      <c r="AF22" s="18" t="n">
        <f aca="false">((20848*2)*'Absolute values'!AF23)/('Absolute values'!$B$27+'Absolute values'!$B$28)</f>
        <v>0</v>
      </c>
      <c r="AG22" s="18" t="n">
        <f aca="false">((20848*2)*'Absolute values'!AG23)/('Absolute values'!$B$27+'Absolute values'!$B$28)</f>
        <v>0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25"/>
      <c r="AR22" s="25"/>
      <c r="AS22" s="25"/>
      <c r="AT22" s="26"/>
      <c r="AU22" s="26"/>
      <c r="AV22" s="26"/>
      <c r="AW22" s="26"/>
      <c r="AX22" s="26"/>
    </row>
    <row r="23" s="1" customFormat="true" ht="15" hidden="false" customHeight="false" outlineLevel="0" collapsed="false">
      <c r="A23" s="17" t="s">
        <v>64</v>
      </c>
      <c r="B23" s="18" t="n">
        <f aca="false">((20848*2)*'Absolute values'!B24)/('Absolute values'!$B$27+'Absolute values'!$B$28)</f>
        <v>0</v>
      </c>
      <c r="C23" s="18" t="n">
        <f aca="false">((20848*2)*'Absolute values'!C24)/('Absolute values'!$B$27+'Absolute values'!$B$28)</f>
        <v>0</v>
      </c>
      <c r="D23" s="18" t="n">
        <f aca="false">((20848*2)*'Absolute values'!D24)/('Absolute values'!$B$27+'Absolute values'!$B$28)</f>
        <v>0</v>
      </c>
      <c r="E23" s="18" t="n">
        <f aca="false">((20848*2)*'Absolute values'!E24)/('Absolute values'!$B$27+'Absolute values'!$B$28)</f>
        <v>0</v>
      </c>
      <c r="F23" s="18" t="n">
        <f aca="false">((20848*2)*'Absolute values'!F24)/('Absolute values'!$B$27+'Absolute values'!$B$28)</f>
        <v>0</v>
      </c>
      <c r="G23" s="18" t="n">
        <f aca="false">((20848*2)*'Absolute values'!G24)/('Absolute values'!$B$27+'Absolute values'!$B$28)</f>
        <v>0</v>
      </c>
      <c r="H23" s="18" t="n">
        <f aca="false">((20848*2)*'Absolute values'!H24)/('Absolute values'!$B$27+'Absolute values'!$B$28)</f>
        <v>0</v>
      </c>
      <c r="I23" s="18" t="n">
        <f aca="false">((20848*2)*'Absolute values'!I24)/('Absolute values'!$B$27+'Absolute values'!$B$28)</f>
        <v>0</v>
      </c>
      <c r="J23" s="18" t="n">
        <f aca="false">((20848*2)*'Absolute values'!J24)/('Absolute values'!$B$27+'Absolute values'!$B$28)</f>
        <v>0</v>
      </c>
      <c r="K23" s="18" t="n">
        <f aca="false">((20848*2)*'Absolute values'!K24)/('Absolute values'!$B$27+'Absolute values'!$B$28)</f>
        <v>0</v>
      </c>
      <c r="L23" s="18" t="n">
        <f aca="false">((20848*2)*'Absolute values'!L24)/('Absolute values'!$B$27+'Absolute values'!$B$28)</f>
        <v>0</v>
      </c>
      <c r="M23" s="18" t="n">
        <f aca="false">((20848*2)*'Absolute values'!M24)/('Absolute values'!$B$27+'Absolute values'!$B$28)</f>
        <v>0</v>
      </c>
      <c r="N23" s="18" t="n">
        <f aca="false">((20848*2)*'Absolute values'!N24)/('Absolute values'!$B$27+'Absolute values'!$B$28)</f>
        <v>0</v>
      </c>
      <c r="O23" s="18" t="n">
        <f aca="false">((20848*2)*'Absolute values'!O24)/('Absolute values'!$B$27+'Absolute values'!$B$28)</f>
        <v>0</v>
      </c>
      <c r="P23" s="18" t="n">
        <f aca="false">((20848*2)*'Absolute values'!P24)/('Absolute values'!$B$27+'Absolute values'!$B$28)</f>
        <v>0</v>
      </c>
      <c r="Q23" s="18" t="n">
        <f aca="false">((20848*2)*'Absolute values'!Q24)/('Absolute values'!$B$27+'Absolute values'!$B$28)</f>
        <v>0</v>
      </c>
      <c r="R23" s="18" t="n">
        <f aca="false">((20848*2)*'Absolute values'!R24)/('Absolute values'!$B$27+'Absolute values'!$B$28)</f>
        <v>0</v>
      </c>
      <c r="S23" s="18" t="n">
        <f aca="false">((20848*2)*'Absolute values'!S24)/('Absolute values'!$B$27+'Absolute values'!$B$28)</f>
        <v>0</v>
      </c>
      <c r="T23" s="18" t="n">
        <f aca="false">((20848*2)*'Absolute values'!T24)/('Absolute values'!$B$27+'Absolute values'!$B$28)</f>
        <v>0</v>
      </c>
      <c r="U23" s="18" t="n">
        <f aca="false">((20848*2)*'Absolute values'!U24)/('Absolute values'!$B$27+'Absolute values'!$B$28)</f>
        <v>220.497091485986</v>
      </c>
      <c r="V23" s="18" t="n">
        <f aca="false">((20848*2)*'Absolute values'!V24)/('Absolute values'!$B$27+'Absolute values'!$B$28)</f>
        <v>220.497091485986</v>
      </c>
      <c r="W23" s="18" t="n">
        <f aca="false">((20848*2)*'Absolute values'!W24)/('Absolute values'!$B$27+'Absolute values'!$B$28)</f>
        <v>0</v>
      </c>
      <c r="X23" s="18" t="n">
        <f aca="false">((20848*2)*'Absolute values'!X24)/('Absolute values'!$B$27+'Absolute values'!$B$28)</f>
        <v>0</v>
      </c>
      <c r="Y23" s="18" t="n">
        <f aca="false">((20848*2)*'Absolute values'!Y24)/('Absolute values'!$B$27+'Absolute values'!$B$28)</f>
        <v>0</v>
      </c>
      <c r="Z23" s="18" t="n">
        <f aca="false">((20848*2)*'Absolute values'!Z24)/('Absolute values'!$B$27+'Absolute values'!$B$28)</f>
        <v>0</v>
      </c>
      <c r="AA23" s="18" t="n">
        <f aca="false">((20848*2)*'Absolute values'!AA24)/('Absolute values'!$B$27+'Absolute values'!$B$28)</f>
        <v>0</v>
      </c>
      <c r="AB23" s="18" t="n">
        <f aca="false">((20848*2)*'Absolute values'!AB24)/('Absolute values'!$B$27+'Absolute values'!$B$28)</f>
        <v>0</v>
      </c>
      <c r="AC23" s="18" t="n">
        <f aca="false">((20848*2)*'Absolute values'!AC24)/('Absolute values'!$B$27+'Absolute values'!$B$28)</f>
        <v>0</v>
      </c>
      <c r="AD23" s="18" t="n">
        <f aca="false">((20848*2)*'Absolute values'!AD24)/('Absolute values'!$B$27+'Absolute values'!$B$28)</f>
        <v>0</v>
      </c>
      <c r="AE23" s="18" t="n">
        <f aca="false">((20848*2)*'Absolute values'!AE24)/('Absolute values'!$B$27+'Absolute values'!$B$28)</f>
        <v>0</v>
      </c>
      <c r="AF23" s="18" t="n">
        <f aca="false">((20848*2)*'Absolute values'!AF24)/('Absolute values'!$B$27+'Absolute values'!$B$28)</f>
        <v>0</v>
      </c>
      <c r="AG23" s="18" t="n">
        <f aca="false">((20848*2)*'Absolute values'!AG24)/('Absolute values'!$B$27+'Absolute values'!$B$28)</f>
        <v>0</v>
      </c>
      <c r="AH23" s="19"/>
      <c r="AI23" s="19"/>
      <c r="AJ23" s="19"/>
      <c r="AK23" s="19"/>
      <c r="AL23" s="19"/>
      <c r="AM23" s="19"/>
      <c r="AN23" s="19"/>
      <c r="AO23" s="19"/>
      <c r="AP23" s="19"/>
      <c r="AQ23" s="25"/>
      <c r="AR23" s="25"/>
      <c r="AS23" s="25"/>
      <c r="AT23" s="26"/>
      <c r="AU23" s="26"/>
      <c r="AV23" s="26"/>
      <c r="AW23" s="26"/>
      <c r="AX23" s="26"/>
    </row>
    <row r="24" s="1" customFormat="true" ht="15" hidden="false" customHeight="false" outlineLevel="0" collapsed="false">
      <c r="A24" s="17" t="s">
        <v>65</v>
      </c>
      <c r="B24" s="18" t="n">
        <f aca="false">((20848*2)*'Absolute values'!B25)/('Absolute values'!$B$27+'Absolute values'!$B$28)</f>
        <v>0</v>
      </c>
      <c r="C24" s="18" t="n">
        <f aca="false">((20848*2)*'Absolute values'!C25)/('Absolute values'!$B$27+'Absolute values'!$B$28)</f>
        <v>0</v>
      </c>
      <c r="D24" s="18" t="n">
        <f aca="false">((20848*2)*'Absolute values'!D25)/('Absolute values'!$B$27+'Absolute values'!$B$28)</f>
        <v>220.497091485986</v>
      </c>
      <c r="E24" s="18" t="n">
        <f aca="false">((20848*2)*'Absolute values'!E25)/('Absolute values'!$B$27+'Absolute values'!$B$28)</f>
        <v>0</v>
      </c>
      <c r="F24" s="18" t="n">
        <f aca="false">((20848*2)*'Absolute values'!F25)/('Absolute values'!$B$27+'Absolute values'!$B$28)</f>
        <v>220.497091485986</v>
      </c>
      <c r="G24" s="18" t="n">
        <f aca="false">((20848*2)*'Absolute values'!G25)/('Absolute values'!$B$27+'Absolute values'!$B$28)</f>
        <v>0</v>
      </c>
      <c r="H24" s="18" t="n">
        <f aca="false">((20848*2)*'Absolute values'!H25)/('Absolute values'!$B$27+'Absolute values'!$B$28)</f>
        <v>0</v>
      </c>
      <c r="I24" s="18" t="n">
        <f aca="false">((20848*2)*'Absolute values'!I25)/('Absolute values'!$B$27+'Absolute values'!$B$28)</f>
        <v>0</v>
      </c>
      <c r="J24" s="18" t="n">
        <f aca="false">((20848*2)*'Absolute values'!J25)/('Absolute values'!$B$27+'Absolute values'!$B$28)</f>
        <v>0</v>
      </c>
      <c r="K24" s="18" t="n">
        <f aca="false">((20848*2)*'Absolute values'!K25)/('Absolute values'!$B$27+'Absolute values'!$B$28)</f>
        <v>0</v>
      </c>
      <c r="L24" s="18" t="n">
        <f aca="false">((20848*2)*'Absolute values'!L25)/('Absolute values'!$B$27+'Absolute values'!$B$28)</f>
        <v>0</v>
      </c>
      <c r="M24" s="18" t="n">
        <f aca="false">((20848*2)*'Absolute values'!M25)/('Absolute values'!$B$27+'Absolute values'!$B$28)</f>
        <v>0</v>
      </c>
      <c r="N24" s="18" t="n">
        <f aca="false">((20848*2)*'Absolute values'!N25)/('Absolute values'!$B$27+'Absolute values'!$B$28)</f>
        <v>0</v>
      </c>
      <c r="O24" s="18" t="n">
        <f aca="false">((20848*2)*'Absolute values'!O25)/('Absolute values'!$B$27+'Absolute values'!$B$28)</f>
        <v>0</v>
      </c>
      <c r="P24" s="18" t="n">
        <f aca="false">((20848*2)*'Absolute values'!P25)/('Absolute values'!$B$27+'Absolute values'!$B$28)</f>
        <v>0</v>
      </c>
      <c r="Q24" s="18" t="n">
        <f aca="false">((20848*2)*'Absolute values'!Q25)/('Absolute values'!$B$27+'Absolute values'!$B$28)</f>
        <v>0</v>
      </c>
      <c r="R24" s="18" t="n">
        <f aca="false">((20848*2)*'Absolute values'!R25)/('Absolute values'!$B$27+'Absolute values'!$B$28)</f>
        <v>0</v>
      </c>
      <c r="S24" s="18" t="n">
        <f aca="false">((20848*2)*'Absolute values'!S25)/('Absolute values'!$B$27+'Absolute values'!$B$28)</f>
        <v>0</v>
      </c>
      <c r="T24" s="18" t="n">
        <f aca="false">((20848*2)*'Absolute values'!T25)/('Absolute values'!$B$27+'Absolute values'!$B$28)</f>
        <v>0</v>
      </c>
      <c r="U24" s="18" t="n">
        <f aca="false">((20848*2)*'Absolute values'!U25)/('Absolute values'!$B$27+'Absolute values'!$B$28)</f>
        <v>0</v>
      </c>
      <c r="V24" s="18" t="n">
        <f aca="false">((20848*2)*'Absolute values'!V25)/('Absolute values'!$B$27+'Absolute values'!$B$28)</f>
        <v>0</v>
      </c>
      <c r="W24" s="18" t="n">
        <f aca="false">((20848*2)*'Absolute values'!W25)/('Absolute values'!$B$27+'Absolute values'!$B$28)</f>
        <v>0</v>
      </c>
      <c r="X24" s="18" t="n">
        <f aca="false">((20848*2)*'Absolute values'!X25)/('Absolute values'!$B$27+'Absolute values'!$B$28)</f>
        <v>0</v>
      </c>
      <c r="Y24" s="18" t="n">
        <f aca="false">((20848*2)*'Absolute values'!Y25)/('Absolute values'!$B$27+'Absolute values'!$B$28)</f>
        <v>0</v>
      </c>
      <c r="Z24" s="18" t="n">
        <f aca="false">((20848*2)*'Absolute values'!Z25)/('Absolute values'!$B$27+'Absolute values'!$B$28)</f>
        <v>0</v>
      </c>
      <c r="AA24" s="18" t="n">
        <f aca="false">((20848*2)*'Absolute values'!AA25)/('Absolute values'!$B$27+'Absolute values'!$B$28)</f>
        <v>0</v>
      </c>
      <c r="AB24" s="18" t="n">
        <f aca="false">((20848*2)*'Absolute values'!AB25)/('Absolute values'!$B$27+'Absolute values'!$B$28)</f>
        <v>0</v>
      </c>
      <c r="AC24" s="18" t="n">
        <f aca="false">((20848*2)*'Absolute values'!AC25)/('Absolute values'!$B$27+'Absolute values'!$B$28)</f>
        <v>0</v>
      </c>
      <c r="AD24" s="18" t="n">
        <f aca="false">((20848*2)*'Absolute values'!AD25)/('Absolute values'!$B$27+'Absolute values'!$B$28)</f>
        <v>0</v>
      </c>
      <c r="AE24" s="18" t="n">
        <f aca="false">((20848*2)*'Absolute values'!AE25)/('Absolute values'!$B$27+'Absolute values'!$B$28)</f>
        <v>0</v>
      </c>
      <c r="AF24" s="18" t="n">
        <f aca="false">((20848*2)*'Absolute values'!AF25)/('Absolute values'!$B$27+'Absolute values'!$B$28)</f>
        <v>0</v>
      </c>
      <c r="AG24" s="18" t="n">
        <f aca="false">((20848*2)*'Absolute values'!AG25)/('Absolute values'!$B$27+'Absolute values'!$B$28)</f>
        <v>0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2"/>
      <c r="AU24" s="22"/>
      <c r="AV24" s="22"/>
      <c r="AW24" s="22"/>
      <c r="AX24" s="22"/>
    </row>
    <row r="25" s="1" customFormat="true" ht="15" hidden="false" customHeight="false" outlineLevel="0" collapsed="false">
      <c r="A25" s="17" t="s">
        <v>66</v>
      </c>
      <c r="B25" s="18" t="n">
        <f aca="false">((20848*2)*'Absolute values'!B26)/('Absolute values'!$B$27+'Absolute values'!$B$28)</f>
        <v>0</v>
      </c>
      <c r="C25" s="18" t="n">
        <f aca="false">((20848*2)*'Absolute values'!C26)/('Absolute values'!$B$27+'Absolute values'!$B$28)</f>
        <v>0</v>
      </c>
      <c r="D25" s="18" t="n">
        <f aca="false">((20848*2)*'Absolute values'!D26)/('Absolute values'!$B$27+'Absolute values'!$B$28)</f>
        <v>0</v>
      </c>
      <c r="E25" s="18" t="n">
        <f aca="false">((20848*2)*'Absolute values'!E26)/('Absolute values'!$B$27+'Absolute values'!$B$28)</f>
        <v>440.994182971973</v>
      </c>
      <c r="F25" s="18" t="n">
        <f aca="false">((20848*2)*'Absolute values'!F26)/('Absolute values'!$B$27+'Absolute values'!$B$28)</f>
        <v>0</v>
      </c>
      <c r="G25" s="18" t="n">
        <f aca="false">((20848*2)*'Absolute values'!G26)/('Absolute values'!$B$27+'Absolute values'!$B$28)</f>
        <v>0</v>
      </c>
      <c r="H25" s="18" t="n">
        <f aca="false">((20848*2)*'Absolute values'!H26)/('Absolute values'!$B$27+'Absolute values'!$B$28)</f>
        <v>0</v>
      </c>
      <c r="I25" s="18" t="n">
        <f aca="false">((20848*2)*'Absolute values'!I26)/('Absolute values'!$B$27+'Absolute values'!$B$28)</f>
        <v>0</v>
      </c>
      <c r="J25" s="18" t="n">
        <f aca="false">((20848*2)*'Absolute values'!J26)/('Absolute values'!$B$27+'Absolute values'!$B$28)</f>
        <v>0</v>
      </c>
      <c r="K25" s="18" t="n">
        <f aca="false">((20848*2)*'Absolute values'!K26)/('Absolute values'!$B$27+'Absolute values'!$B$28)</f>
        <v>220.497091485986</v>
      </c>
      <c r="L25" s="18" t="n">
        <f aca="false">((20848*2)*'Absolute values'!L26)/('Absolute values'!$B$27+'Absolute values'!$B$28)</f>
        <v>0</v>
      </c>
      <c r="M25" s="18" t="n">
        <f aca="false">((20848*2)*'Absolute values'!M26)/('Absolute values'!$B$27+'Absolute values'!$B$28)</f>
        <v>0</v>
      </c>
      <c r="N25" s="18" t="n">
        <f aca="false">((20848*2)*'Absolute values'!N26)/('Absolute values'!$B$27+'Absolute values'!$B$28)</f>
        <v>0</v>
      </c>
      <c r="O25" s="18" t="n">
        <f aca="false">((20848*2)*'Absolute values'!O26)/('Absolute values'!$B$27+'Absolute values'!$B$28)</f>
        <v>0</v>
      </c>
      <c r="P25" s="18" t="n">
        <f aca="false">((20848*2)*'Absolute values'!P26)/('Absolute values'!$B$27+'Absolute values'!$B$28)</f>
        <v>0</v>
      </c>
      <c r="Q25" s="18" t="n">
        <f aca="false">((20848*2)*'Absolute values'!Q26)/('Absolute values'!$B$27+'Absolute values'!$B$28)</f>
        <v>0</v>
      </c>
      <c r="R25" s="18" t="n">
        <f aca="false">((20848*2)*'Absolute values'!R26)/('Absolute values'!$B$27+'Absolute values'!$B$28)</f>
        <v>0</v>
      </c>
      <c r="S25" s="18" t="n">
        <f aca="false">((20848*2)*'Absolute values'!S26)/('Absolute values'!$B$27+'Absolute values'!$B$28)</f>
        <v>0</v>
      </c>
      <c r="T25" s="18" t="n">
        <f aca="false">((20848*2)*'Absolute values'!T26)/('Absolute values'!$B$27+'Absolute values'!$B$28)</f>
        <v>0</v>
      </c>
      <c r="U25" s="18" t="n">
        <f aca="false">((20848*2)*'Absolute values'!U26)/('Absolute values'!$B$27+'Absolute values'!$B$28)</f>
        <v>0</v>
      </c>
      <c r="V25" s="18" t="n">
        <f aca="false">((20848*2)*'Absolute values'!V26)/('Absolute values'!$B$27+'Absolute values'!$B$28)</f>
        <v>0</v>
      </c>
      <c r="W25" s="18" t="n">
        <f aca="false">((20848*2)*'Absolute values'!W26)/('Absolute values'!$B$27+'Absolute values'!$B$28)</f>
        <v>0</v>
      </c>
      <c r="X25" s="18" t="n">
        <f aca="false">((20848*2)*'Absolute values'!X26)/('Absolute values'!$B$27+'Absolute values'!$B$28)</f>
        <v>0</v>
      </c>
      <c r="Y25" s="18" t="n">
        <f aca="false">((20848*2)*'Absolute values'!Y26)/('Absolute values'!$B$27+'Absolute values'!$B$28)</f>
        <v>0</v>
      </c>
      <c r="Z25" s="18" t="n">
        <f aca="false">((20848*2)*'Absolute values'!Z26)/('Absolute values'!$B$27+'Absolute values'!$B$28)</f>
        <v>0</v>
      </c>
      <c r="AA25" s="18" t="n">
        <f aca="false">((20848*2)*'Absolute values'!AA26)/('Absolute values'!$B$27+'Absolute values'!$B$28)</f>
        <v>0</v>
      </c>
      <c r="AB25" s="18" t="n">
        <f aca="false">((20848*2)*'Absolute values'!AB26)/('Absolute values'!$B$27+'Absolute values'!$B$28)</f>
        <v>0</v>
      </c>
      <c r="AC25" s="18" t="n">
        <f aca="false">((20848*2)*'Absolute values'!AC26)/('Absolute values'!$B$27+'Absolute values'!$B$28)</f>
        <v>0</v>
      </c>
      <c r="AD25" s="18" t="n">
        <f aca="false">((20848*2)*'Absolute values'!AD26)/('Absolute values'!$B$27+'Absolute values'!$B$28)</f>
        <v>0</v>
      </c>
      <c r="AE25" s="18" t="n">
        <f aca="false">((20848*2)*'Absolute values'!AE26)/('Absolute values'!$B$27+'Absolute values'!$B$28)</f>
        <v>0</v>
      </c>
      <c r="AF25" s="18" t="n">
        <f aca="false">((20848*2)*'Absolute values'!AF26)/('Absolute values'!$B$27+'Absolute values'!$B$28)</f>
        <v>0</v>
      </c>
      <c r="AG25" s="18" t="n">
        <f aca="false">((20848*2)*'Absolute values'!AG26)/('Absolute values'!$B$27+'Absolute values'!$B$28)</f>
        <v>0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2"/>
      <c r="AU25" s="22"/>
      <c r="AV25" s="22"/>
      <c r="AW25" s="22"/>
      <c r="AX25" s="22"/>
    </row>
    <row r="26" s="1" customFormat="tru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2"/>
      <c r="AU26" s="22"/>
      <c r="AV26" s="22"/>
      <c r="AW26" s="22"/>
      <c r="AX26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3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S1" activeCellId="0" sqref="S1"/>
    </sheetView>
  </sheetViews>
  <sheetFormatPr defaultColWidth="9.15625" defaultRowHeight="13.8" zeroHeight="false" outlineLevelRow="0" outlineLevelCol="0"/>
  <cols>
    <col collapsed="false" customWidth="true" hidden="false" outlineLevel="0" max="12" min="7" style="0" width="18.34"/>
    <col collapsed="false" customWidth="true" hidden="false" outlineLevel="0" max="13" min="13" style="0" width="18.66"/>
    <col collapsed="false" customWidth="true" hidden="false" outlineLevel="0" max="14" min="14" style="0" width="18.34"/>
    <col collapsed="false" customWidth="true" hidden="false" outlineLevel="0" max="15" min="15" style="0" width="21.97"/>
    <col collapsed="false" customWidth="true" hidden="false" outlineLevel="0" max="28" min="16" style="0" width="18.34"/>
  </cols>
  <sheetData>
    <row r="1" customFormat="false" ht="13.8" hidden="false" customHeight="false" outlineLevel="0" collapsed="false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44</v>
      </c>
      <c r="N1" s="0" t="s">
        <v>45</v>
      </c>
      <c r="O1" s="0" t="s">
        <v>73</v>
      </c>
      <c r="P1" s="0" t="s">
        <v>47</v>
      </c>
      <c r="Q1" s="0" t="s">
        <v>55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61</v>
      </c>
      <c r="X1" s="0" t="s">
        <v>62</v>
      </c>
      <c r="Y1" s="0" t="s">
        <v>63</v>
      </c>
      <c r="Z1" s="0" t="s">
        <v>64</v>
      </c>
      <c r="AA1" s="0" t="s">
        <v>65</v>
      </c>
      <c r="AB1" s="0" t="s">
        <v>66</v>
      </c>
    </row>
    <row r="2" customFormat="false" ht="13.8" hidden="false" customHeight="false" outlineLevel="0" collapsed="false">
      <c r="A2" s="0" t="s">
        <v>5</v>
      </c>
      <c r="B2" s="0" t="n">
        <v>38</v>
      </c>
      <c r="C2" s="0" t="n">
        <v>5859</v>
      </c>
      <c r="D2" s="0" t="n">
        <v>6219</v>
      </c>
      <c r="E2" s="0" t="n">
        <v>6044</v>
      </c>
      <c r="F2" s="0" t="n">
        <v>6038</v>
      </c>
      <c r="G2" s="0" t="n">
        <v>3086.95928080381</v>
      </c>
      <c r="H2" s="0" t="n">
        <v>1102.48545742993</v>
      </c>
      <c r="I2" s="0" t="n">
        <v>9701.87202538339</v>
      </c>
      <c r="J2" s="0" t="n">
        <v>220.497091485986</v>
      </c>
      <c r="K2" s="0" t="n">
        <v>220.497091485986</v>
      </c>
      <c r="L2" s="0" t="n">
        <v>220.497091485986</v>
      </c>
      <c r="M2" s="0" t="n">
        <v>220.497091485986</v>
      </c>
      <c r="N2" s="0" t="n">
        <v>220.497091485986</v>
      </c>
      <c r="O2" s="0" t="n">
        <v>881.988365943945</v>
      </c>
      <c r="P2" s="0" t="n">
        <v>2204.97091485986</v>
      </c>
      <c r="Q2" s="0" t="n">
        <v>0</v>
      </c>
      <c r="R2" s="0" t="n">
        <v>0</v>
      </c>
      <c r="S2" s="0" t="n">
        <v>4630.43892120571</v>
      </c>
      <c r="T2" s="0" t="n">
        <v>0</v>
      </c>
      <c r="U2" s="0" t="n">
        <v>3307.45637228979</v>
      </c>
      <c r="V2" s="0" t="n">
        <v>0</v>
      </c>
      <c r="W2" s="0" t="n">
        <v>0</v>
      </c>
      <c r="X2" s="0" t="n">
        <v>661.491274457959</v>
      </c>
      <c r="Y2" s="0" t="n">
        <v>0</v>
      </c>
      <c r="Z2" s="0" t="n">
        <v>0</v>
      </c>
      <c r="AA2" s="0" t="n">
        <v>0</v>
      </c>
      <c r="AB2" s="0" t="n">
        <v>0</v>
      </c>
    </row>
    <row r="3" customFormat="false" ht="13.8" hidden="false" customHeight="false" outlineLevel="0" collapsed="false">
      <c r="A3" s="0" t="s">
        <v>6</v>
      </c>
      <c r="B3" s="0" t="n">
        <v>43</v>
      </c>
      <c r="C3" s="0" t="n">
        <v>6295</v>
      </c>
      <c r="D3" s="0" t="n">
        <v>6636</v>
      </c>
      <c r="E3" s="0" t="n">
        <v>6479</v>
      </c>
      <c r="F3" s="0" t="n">
        <v>6475</v>
      </c>
      <c r="G3" s="0" t="n">
        <v>2866.46218931782</v>
      </c>
      <c r="H3" s="0" t="n">
        <v>440.994182971973</v>
      </c>
      <c r="I3" s="0" t="n">
        <v>7496.90111052353</v>
      </c>
      <c r="J3" s="0" t="n">
        <v>220.497091485986</v>
      </c>
      <c r="K3" s="0" t="n">
        <v>661.491274457959</v>
      </c>
      <c r="L3" s="0" t="n">
        <v>440.994182971973</v>
      </c>
      <c r="M3" s="0" t="n">
        <v>0</v>
      </c>
      <c r="N3" s="0" t="n">
        <v>220.497091485986</v>
      </c>
      <c r="O3" s="0" t="n">
        <v>440.994182971973</v>
      </c>
      <c r="P3" s="0" t="n">
        <v>661.491274457959</v>
      </c>
      <c r="Q3" s="0" t="n">
        <v>0</v>
      </c>
      <c r="R3" s="0" t="n">
        <v>0</v>
      </c>
      <c r="S3" s="0" t="n">
        <v>1322.98254891592</v>
      </c>
      <c r="T3" s="0" t="n">
        <v>0</v>
      </c>
      <c r="U3" s="0" t="n">
        <v>1102.48545742993</v>
      </c>
      <c r="V3" s="0" t="n">
        <v>0</v>
      </c>
      <c r="W3" s="0" t="n">
        <v>0</v>
      </c>
      <c r="X3" s="0" t="n">
        <v>881.988365943945</v>
      </c>
      <c r="Y3" s="0" t="n">
        <v>0</v>
      </c>
      <c r="Z3" s="0" t="n">
        <v>0</v>
      </c>
      <c r="AA3" s="0" t="n">
        <v>0</v>
      </c>
      <c r="AB3" s="0" t="n">
        <v>0</v>
      </c>
    </row>
    <row r="4" customFormat="false" ht="13.8" hidden="false" customHeight="false" outlineLevel="0" collapsed="false">
      <c r="A4" s="0" t="s">
        <v>7</v>
      </c>
      <c r="B4" s="0" t="n">
        <v>47</v>
      </c>
      <c r="C4" s="0" t="n">
        <v>6514</v>
      </c>
      <c r="D4" s="0" t="n">
        <v>7167</v>
      </c>
      <c r="E4" s="0" t="n">
        <v>6755</v>
      </c>
      <c r="F4" s="0" t="n">
        <v>6778</v>
      </c>
      <c r="G4" s="0" t="n">
        <v>1763.97673188789</v>
      </c>
      <c r="H4" s="0" t="n">
        <v>661.491274457959</v>
      </c>
      <c r="I4" s="0" t="n">
        <v>10142.8662083554</v>
      </c>
      <c r="J4" s="0" t="n">
        <v>0</v>
      </c>
      <c r="K4" s="0" t="n">
        <v>220.497091485986</v>
      </c>
      <c r="L4" s="0" t="n">
        <v>0</v>
      </c>
      <c r="M4" s="0" t="n">
        <v>0</v>
      </c>
      <c r="N4" s="0" t="n">
        <v>881.988365943945</v>
      </c>
      <c r="O4" s="0" t="n">
        <v>0</v>
      </c>
      <c r="P4" s="0" t="n">
        <v>1322.98254891592</v>
      </c>
      <c r="Q4" s="0" t="n">
        <v>0</v>
      </c>
      <c r="R4" s="0" t="n">
        <v>0</v>
      </c>
      <c r="S4" s="0" t="n">
        <v>2645.96509783184</v>
      </c>
      <c r="T4" s="0" t="n">
        <v>440.994182971973</v>
      </c>
      <c r="U4" s="0" t="n">
        <v>3968.94764674775</v>
      </c>
      <c r="V4" s="0" t="n">
        <v>0</v>
      </c>
      <c r="W4" s="0" t="n">
        <v>0</v>
      </c>
      <c r="X4" s="0" t="n">
        <v>440.994182971973</v>
      </c>
      <c r="Y4" s="0" t="n">
        <v>0</v>
      </c>
      <c r="Z4" s="0" t="n">
        <v>0</v>
      </c>
      <c r="AA4" s="0" t="n">
        <v>220.497091485986</v>
      </c>
      <c r="AB4" s="0" t="n">
        <v>0</v>
      </c>
    </row>
    <row r="5" customFormat="false" ht="13.8" hidden="false" customHeight="false" outlineLevel="0" collapsed="false">
      <c r="A5" s="0" t="s">
        <v>8</v>
      </c>
      <c r="B5" s="0" t="n">
        <v>51</v>
      </c>
      <c r="C5" s="0" t="n">
        <v>6677</v>
      </c>
      <c r="D5" s="0" t="n">
        <v>7487</v>
      </c>
      <c r="E5" s="0" t="n">
        <v>7018</v>
      </c>
      <c r="F5" s="0" t="n">
        <v>7035</v>
      </c>
      <c r="G5" s="0" t="n">
        <v>2866.46218931782</v>
      </c>
      <c r="H5" s="0" t="n">
        <v>220.497091485986</v>
      </c>
      <c r="I5" s="0" t="n">
        <v>8599.38656795347</v>
      </c>
      <c r="J5" s="0" t="n">
        <v>220.497091485986</v>
      </c>
      <c r="K5" s="0" t="n">
        <v>220.497091485986</v>
      </c>
      <c r="L5" s="0" t="n">
        <v>0</v>
      </c>
      <c r="M5" s="0" t="n">
        <v>0</v>
      </c>
      <c r="N5" s="0" t="n">
        <v>1322.98254891592</v>
      </c>
      <c r="O5" s="0" t="n">
        <v>220.497091485986</v>
      </c>
      <c r="P5" s="0" t="n">
        <v>3527.95346377578</v>
      </c>
      <c r="Q5" s="0" t="n">
        <v>0</v>
      </c>
      <c r="R5" s="0" t="n">
        <v>0</v>
      </c>
      <c r="S5" s="0" t="n">
        <v>5071.43310417768</v>
      </c>
      <c r="T5" s="0" t="n">
        <v>220.497091485986</v>
      </c>
      <c r="U5" s="0" t="n">
        <v>3307.45637228979</v>
      </c>
      <c r="V5" s="0" t="n">
        <v>0</v>
      </c>
      <c r="W5" s="0" t="n">
        <v>0</v>
      </c>
      <c r="X5" s="0" t="n">
        <v>661.491274457959</v>
      </c>
      <c r="Y5" s="0" t="n">
        <v>0</v>
      </c>
      <c r="Z5" s="0" t="n">
        <v>0</v>
      </c>
      <c r="AA5" s="0" t="n">
        <v>0</v>
      </c>
      <c r="AB5" s="0" t="n">
        <v>440.994182971973</v>
      </c>
    </row>
    <row r="6" customFormat="false" ht="13.8" hidden="false" customHeight="false" outlineLevel="0" collapsed="false">
      <c r="A6" s="0" t="s">
        <v>9</v>
      </c>
      <c r="B6" s="0" t="n">
        <v>54</v>
      </c>
      <c r="C6" s="0" t="n">
        <v>6817</v>
      </c>
      <c r="D6" s="0" t="n">
        <v>7710</v>
      </c>
      <c r="E6" s="0" t="n">
        <v>7201</v>
      </c>
      <c r="F6" s="0" t="n">
        <v>7219</v>
      </c>
      <c r="G6" s="0" t="n">
        <v>3086.95928080381</v>
      </c>
      <c r="H6" s="0" t="n">
        <v>0</v>
      </c>
      <c r="I6" s="0" t="n">
        <v>7496.90111052353</v>
      </c>
      <c r="J6" s="0" t="n">
        <v>220.497091485986</v>
      </c>
      <c r="K6" s="0" t="n">
        <v>220.497091485986</v>
      </c>
      <c r="L6" s="0" t="n">
        <v>0</v>
      </c>
      <c r="M6" s="0" t="n">
        <v>0</v>
      </c>
      <c r="N6" s="0" t="n">
        <v>1984.47382337388</v>
      </c>
      <c r="O6" s="0" t="n">
        <v>0</v>
      </c>
      <c r="P6" s="0" t="n">
        <v>1322.98254891592</v>
      </c>
      <c r="Q6" s="0" t="n">
        <v>0</v>
      </c>
      <c r="R6" s="0" t="n">
        <v>0</v>
      </c>
      <c r="S6" s="0" t="n">
        <v>3527.95346377578</v>
      </c>
      <c r="T6" s="0" t="n">
        <v>881.988365943945</v>
      </c>
      <c r="U6" s="0" t="n">
        <v>1984.47382337388</v>
      </c>
      <c r="V6" s="0" t="n">
        <v>0</v>
      </c>
      <c r="W6" s="0" t="n">
        <v>0</v>
      </c>
      <c r="X6" s="0" t="n">
        <v>2645.96509783184</v>
      </c>
      <c r="Y6" s="0" t="n">
        <v>0</v>
      </c>
      <c r="Z6" s="0" t="n">
        <v>0</v>
      </c>
      <c r="AA6" s="0" t="n">
        <v>220.497091485986</v>
      </c>
      <c r="AB6" s="0" t="n">
        <v>0</v>
      </c>
    </row>
    <row r="7" customFormat="false" ht="13.8" hidden="false" customHeight="false" outlineLevel="0" collapsed="false">
      <c r="A7" s="0" t="s">
        <v>10</v>
      </c>
      <c r="B7" s="0" t="n">
        <v>58</v>
      </c>
      <c r="C7" s="0" t="n">
        <v>6995</v>
      </c>
      <c r="D7" s="0" t="n">
        <v>7925</v>
      </c>
      <c r="E7" s="0" t="n">
        <v>7478</v>
      </c>
      <c r="F7" s="0" t="n">
        <v>7470</v>
      </c>
      <c r="G7" s="0" t="n">
        <v>1543.4796404019</v>
      </c>
      <c r="H7" s="0" t="n">
        <v>220.497091485986</v>
      </c>
      <c r="I7" s="0" t="n">
        <v>12347.8371232152</v>
      </c>
      <c r="J7" s="0" t="n">
        <v>220.497091485986</v>
      </c>
      <c r="K7" s="0" t="n">
        <v>0</v>
      </c>
      <c r="L7" s="0" t="n">
        <v>0</v>
      </c>
      <c r="M7" s="0" t="n">
        <v>0</v>
      </c>
      <c r="N7" s="0" t="n">
        <v>440.994182971973</v>
      </c>
      <c r="O7" s="0" t="n">
        <v>440.994182971973</v>
      </c>
      <c r="P7" s="0" t="n">
        <v>3086.95928080381</v>
      </c>
      <c r="Q7" s="0" t="n">
        <v>0</v>
      </c>
      <c r="R7" s="0" t="n">
        <v>0</v>
      </c>
      <c r="S7" s="0" t="n">
        <v>3748.45055526177</v>
      </c>
      <c r="T7" s="0" t="n">
        <v>0</v>
      </c>
      <c r="U7" s="0" t="n">
        <v>5953.42147012163</v>
      </c>
      <c r="V7" s="0" t="n">
        <v>0</v>
      </c>
      <c r="W7" s="0" t="n">
        <v>0</v>
      </c>
      <c r="X7" s="0" t="n">
        <v>2645.96509783184</v>
      </c>
      <c r="Y7" s="0" t="n">
        <v>0</v>
      </c>
      <c r="Z7" s="0" t="n">
        <v>0</v>
      </c>
      <c r="AA7" s="0" t="n">
        <v>0</v>
      </c>
      <c r="AB7" s="0" t="n">
        <v>0</v>
      </c>
    </row>
    <row r="8" customFormat="false" ht="13.8" hidden="false" customHeight="false" outlineLevel="0" collapsed="false">
      <c r="A8" s="0" t="s">
        <v>11</v>
      </c>
      <c r="B8" s="0" t="n">
        <v>62</v>
      </c>
      <c r="C8" s="0" t="n">
        <v>7302</v>
      </c>
      <c r="D8" s="0" t="n">
        <v>8018</v>
      </c>
      <c r="E8" s="0" t="n">
        <v>7751</v>
      </c>
      <c r="F8" s="0" t="n">
        <v>7727</v>
      </c>
      <c r="G8" s="0" t="n">
        <v>1102.48545742993</v>
      </c>
      <c r="H8" s="0" t="n">
        <v>0</v>
      </c>
      <c r="I8" s="0" t="n">
        <v>2866.46218931782</v>
      </c>
      <c r="J8" s="0" t="n">
        <v>440.994182971973</v>
      </c>
      <c r="K8" s="0" t="n">
        <v>0</v>
      </c>
      <c r="L8" s="0" t="n">
        <v>0</v>
      </c>
      <c r="M8" s="0" t="n">
        <v>0</v>
      </c>
      <c r="N8" s="0" t="n">
        <v>661.491274457959</v>
      </c>
      <c r="O8" s="0" t="n">
        <v>0</v>
      </c>
      <c r="P8" s="0" t="n">
        <v>661.491274457959</v>
      </c>
      <c r="Q8" s="0" t="n">
        <v>0</v>
      </c>
      <c r="R8" s="0" t="n">
        <v>0</v>
      </c>
      <c r="S8" s="0" t="n">
        <v>1984.47382337388</v>
      </c>
      <c r="T8" s="0" t="n">
        <v>881.988365943945</v>
      </c>
      <c r="U8" s="0" t="n">
        <v>1984.47382337388</v>
      </c>
      <c r="V8" s="0" t="n">
        <v>0</v>
      </c>
      <c r="W8" s="0" t="n">
        <v>0</v>
      </c>
      <c r="X8" s="0" t="n">
        <v>881.988365943945</v>
      </c>
      <c r="Y8" s="0" t="n">
        <v>0</v>
      </c>
      <c r="Z8" s="0" t="n">
        <v>0</v>
      </c>
      <c r="AA8" s="0" t="n">
        <v>0</v>
      </c>
      <c r="AB8" s="0" t="n">
        <v>0</v>
      </c>
    </row>
    <row r="9" customFormat="false" ht="13.8" hidden="false" customHeight="false" outlineLevel="0" collapsed="false">
      <c r="A9" s="0" t="s">
        <v>12</v>
      </c>
      <c r="B9" s="0" t="n">
        <v>70</v>
      </c>
      <c r="C9" s="0" t="n">
        <v>8002</v>
      </c>
      <c r="D9" s="0" t="n">
        <v>8376</v>
      </c>
      <c r="E9" s="0" t="n">
        <v>8167</v>
      </c>
      <c r="F9" s="0" t="n">
        <v>8172</v>
      </c>
      <c r="G9" s="0" t="n">
        <v>440.994182971973</v>
      </c>
      <c r="H9" s="0" t="n">
        <v>440.994182971973</v>
      </c>
      <c r="I9" s="0" t="n">
        <v>3748.45055526177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881.988365943945</v>
      </c>
      <c r="O9" s="0" t="n">
        <v>220.497091485986</v>
      </c>
      <c r="P9" s="0" t="n">
        <v>220.497091485986</v>
      </c>
      <c r="Q9" s="0" t="n">
        <v>0</v>
      </c>
      <c r="R9" s="0" t="n">
        <v>0</v>
      </c>
      <c r="S9" s="0" t="n">
        <v>1763.97673188789</v>
      </c>
      <c r="T9" s="0" t="n">
        <v>220.497091485986</v>
      </c>
      <c r="U9" s="0" t="n">
        <v>440.994182971973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</row>
    <row r="10" customFormat="false" ht="13.8" hidden="false" customHeight="false" outlineLevel="0" collapsed="false">
      <c r="A10" s="0" t="s">
        <v>13</v>
      </c>
      <c r="B10" s="0" t="n">
        <v>78</v>
      </c>
      <c r="C10" s="0" t="n">
        <v>8158</v>
      </c>
      <c r="D10" s="0" t="n">
        <v>8910</v>
      </c>
      <c r="E10" s="0" t="n">
        <v>8476</v>
      </c>
      <c r="F10" s="0" t="n">
        <v>8491</v>
      </c>
      <c r="G10" s="0" t="n">
        <v>0</v>
      </c>
      <c r="H10" s="0" t="n">
        <v>0</v>
      </c>
      <c r="I10" s="0" t="n">
        <v>1543.4796404019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220.497091485986</v>
      </c>
      <c r="O10" s="0" t="n">
        <v>0</v>
      </c>
      <c r="P10" s="0" t="n">
        <v>440.994182971973</v>
      </c>
      <c r="Q10" s="0" t="n">
        <v>0</v>
      </c>
      <c r="R10" s="0" t="n">
        <v>0</v>
      </c>
      <c r="S10" s="0" t="n">
        <v>881.988365943945</v>
      </c>
      <c r="T10" s="0" t="n">
        <v>0</v>
      </c>
      <c r="U10" s="0" t="n">
        <v>1322.98254891592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</row>
    <row r="11" customFormat="false" ht="13.8" hidden="false" customHeight="false" outlineLevel="0" collapsed="false">
      <c r="A11" s="0" t="s">
        <v>14</v>
      </c>
      <c r="B11" s="0" t="n">
        <v>86</v>
      </c>
      <c r="C11" s="0" t="n">
        <v>8401</v>
      </c>
      <c r="D11" s="0" t="n">
        <v>9214</v>
      </c>
      <c r="E11" s="0" t="n">
        <v>8807</v>
      </c>
      <c r="F11" s="0" t="n">
        <v>8808</v>
      </c>
      <c r="G11" s="0" t="n">
        <v>0</v>
      </c>
      <c r="H11" s="0" t="n">
        <v>0</v>
      </c>
      <c r="I11" s="0" t="n">
        <v>2425.46800634585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220.497091485986</v>
      </c>
      <c r="P11" s="0" t="n">
        <v>440.994182971973</v>
      </c>
      <c r="Q11" s="0" t="n">
        <v>0</v>
      </c>
      <c r="R11" s="0" t="n">
        <v>0</v>
      </c>
      <c r="S11" s="0" t="n">
        <v>2425.46800634585</v>
      </c>
      <c r="T11" s="0" t="n">
        <v>0</v>
      </c>
      <c r="U11" s="0" t="n">
        <v>661.491274457959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220.497091485986</v>
      </c>
    </row>
    <row r="12" customFormat="false" ht="13.8" hidden="false" customHeight="false" outlineLevel="0" collapsed="false">
      <c r="A12" s="0" t="s">
        <v>15</v>
      </c>
      <c r="B12" s="0" t="n">
        <v>94</v>
      </c>
      <c r="C12" s="0" t="n">
        <v>8713</v>
      </c>
      <c r="D12" s="0" t="n">
        <v>9483</v>
      </c>
      <c r="E12" s="0" t="n">
        <v>9140</v>
      </c>
      <c r="F12" s="0" t="n">
        <v>9127</v>
      </c>
      <c r="G12" s="0" t="n">
        <v>220.497091485986</v>
      </c>
      <c r="H12" s="0" t="n">
        <v>220.497091485986</v>
      </c>
      <c r="I12" s="0" t="n">
        <v>1543.4796404019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661.491274457959</v>
      </c>
      <c r="O12" s="0" t="n">
        <v>220.497091485986</v>
      </c>
      <c r="P12" s="0" t="n">
        <v>220.497091485986</v>
      </c>
      <c r="Q12" s="0" t="n">
        <v>0</v>
      </c>
      <c r="R12" s="0" t="n">
        <v>0</v>
      </c>
      <c r="S12" s="0" t="n">
        <v>3086.95928080381</v>
      </c>
      <c r="T12" s="0" t="n">
        <v>220.497091485986</v>
      </c>
      <c r="U12" s="0" t="n">
        <v>1322.98254891592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</row>
    <row r="13" customFormat="false" ht="13.8" hidden="false" customHeight="false" outlineLevel="0" collapsed="false">
      <c r="A13" s="0" t="s">
        <v>16</v>
      </c>
      <c r="B13" s="0" t="n">
        <v>103</v>
      </c>
      <c r="C13" s="0" t="n">
        <v>9359</v>
      </c>
      <c r="D13" s="0" t="n">
        <v>9750</v>
      </c>
      <c r="E13" s="0" t="n">
        <v>9541</v>
      </c>
      <c r="F13" s="0" t="n">
        <v>9545</v>
      </c>
      <c r="G13" s="0" t="n">
        <v>0</v>
      </c>
      <c r="H13" s="0" t="n">
        <v>0</v>
      </c>
      <c r="I13" s="0" t="n">
        <v>661.491274457959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440.994182971973</v>
      </c>
      <c r="Q13" s="0" t="n">
        <v>0</v>
      </c>
      <c r="R13" s="0" t="n">
        <v>0</v>
      </c>
      <c r="S13" s="0" t="n">
        <v>661.491274457959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</row>
    <row r="14" customFormat="false" ht="13.8" hidden="false" customHeight="false" outlineLevel="0" collapsed="false">
      <c r="A14" s="0" t="s">
        <v>17</v>
      </c>
      <c r="B14" s="0" t="n">
        <v>110</v>
      </c>
      <c r="C14" s="0" t="n">
        <v>9597</v>
      </c>
      <c r="D14" s="0" t="n">
        <v>9994</v>
      </c>
      <c r="E14" s="0" t="n">
        <v>9763</v>
      </c>
      <c r="F14" s="0" t="n">
        <v>9770</v>
      </c>
      <c r="G14" s="0" t="n">
        <v>440.994182971973</v>
      </c>
      <c r="H14" s="0" t="n">
        <v>0</v>
      </c>
      <c r="I14" s="0" t="n">
        <v>661.491274457959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440.994182971973</v>
      </c>
      <c r="Q14" s="0" t="n">
        <v>0</v>
      </c>
      <c r="R14" s="0" t="n">
        <v>0</v>
      </c>
      <c r="S14" s="0" t="n">
        <v>1984.47382337388</v>
      </c>
      <c r="T14" s="0" t="n">
        <v>0</v>
      </c>
      <c r="U14" s="0" t="n">
        <v>881.988365943945</v>
      </c>
      <c r="V14" s="0" t="n">
        <v>0</v>
      </c>
      <c r="W14" s="0" t="n">
        <v>0</v>
      </c>
      <c r="X14" s="0" t="n">
        <v>440.994182971973</v>
      </c>
      <c r="Y14" s="0" t="n">
        <v>0</v>
      </c>
      <c r="Z14" s="0" t="n">
        <v>0</v>
      </c>
      <c r="AA14" s="0" t="n">
        <v>0</v>
      </c>
      <c r="AB14" s="0" t="n">
        <v>0</v>
      </c>
    </row>
    <row r="15" customFormat="false" ht="13.8" hidden="false" customHeight="false" outlineLevel="0" collapsed="false">
      <c r="A15" s="0" t="s">
        <v>18</v>
      </c>
      <c r="B15" s="0" t="n">
        <v>118</v>
      </c>
      <c r="C15" s="0" t="n">
        <v>9804</v>
      </c>
      <c r="D15" s="0" t="n">
        <v>10338</v>
      </c>
      <c r="E15" s="0" t="n">
        <v>10045</v>
      </c>
      <c r="F15" s="0" t="n">
        <v>10052</v>
      </c>
      <c r="G15" s="0" t="n">
        <v>0</v>
      </c>
      <c r="H15" s="0" t="n">
        <v>0</v>
      </c>
      <c r="I15" s="0" t="n">
        <v>661.491274457959</v>
      </c>
      <c r="J15" s="0" t="n">
        <v>0</v>
      </c>
      <c r="K15" s="0" t="n">
        <v>0</v>
      </c>
      <c r="L15" s="0" t="n">
        <v>0</v>
      </c>
      <c r="M15" s="0" t="n">
        <v>440.994182971973</v>
      </c>
      <c r="N15" s="0" t="n">
        <v>0</v>
      </c>
      <c r="O15" s="0" t="n">
        <v>0</v>
      </c>
      <c r="P15" s="0" t="n">
        <v>881.988365943945</v>
      </c>
      <c r="Q15" s="0" t="n">
        <v>0</v>
      </c>
      <c r="R15" s="0" t="n">
        <v>220.497091485986</v>
      </c>
      <c r="S15" s="0" t="n">
        <v>1543.4796404019</v>
      </c>
      <c r="T15" s="0" t="n">
        <v>0</v>
      </c>
      <c r="U15" s="0" t="n">
        <v>440.994182971973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</row>
    <row r="16" customFormat="false" ht="13.8" hidden="false" customHeight="false" outlineLevel="0" collapsed="false">
      <c r="A16" s="0" t="s">
        <v>19</v>
      </c>
      <c r="B16" s="0" t="n">
        <v>126</v>
      </c>
      <c r="C16" s="0" t="n">
        <v>10049</v>
      </c>
      <c r="D16" s="0" t="n">
        <v>10638</v>
      </c>
      <c r="E16" s="0" t="n">
        <v>10329</v>
      </c>
      <c r="F16" s="0" t="n">
        <v>10333</v>
      </c>
      <c r="G16" s="0" t="n">
        <v>0</v>
      </c>
      <c r="H16" s="0" t="n">
        <v>220.497091485986</v>
      </c>
      <c r="I16" s="0" t="n">
        <v>661.491274457959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220.497091485986</v>
      </c>
      <c r="Q16" s="0" t="n">
        <v>0</v>
      </c>
      <c r="R16" s="0" t="n">
        <v>0</v>
      </c>
      <c r="S16" s="0" t="n">
        <v>2204.97091485986</v>
      </c>
      <c r="T16" s="0" t="n">
        <v>220.497091485986</v>
      </c>
      <c r="U16" s="0" t="n">
        <v>440.994182971973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</row>
    <row r="17" customFormat="false" ht="13.8" hidden="false" customHeight="false" outlineLevel="0" collapsed="false">
      <c r="A17" s="0" t="s">
        <v>20</v>
      </c>
      <c r="B17" s="0" t="n">
        <v>134</v>
      </c>
      <c r="C17" s="0" t="n">
        <v>10325</v>
      </c>
      <c r="D17" s="0" t="n">
        <v>10912</v>
      </c>
      <c r="E17" s="0" t="n">
        <v>10614</v>
      </c>
      <c r="F17" s="0" t="n">
        <v>10616</v>
      </c>
      <c r="G17" s="0" t="n">
        <v>0</v>
      </c>
      <c r="H17" s="0" t="n">
        <v>0</v>
      </c>
      <c r="I17" s="0" t="n">
        <v>0</v>
      </c>
      <c r="J17" s="0" t="n">
        <v>220.497091485986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881.988365943945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220.497091485986</v>
      </c>
      <c r="Y17" s="0" t="n">
        <v>0</v>
      </c>
      <c r="Z17" s="0" t="n">
        <v>0</v>
      </c>
      <c r="AA17" s="0" t="n">
        <v>0</v>
      </c>
      <c r="AB17" s="0" t="n">
        <v>0</v>
      </c>
    </row>
    <row r="18" customFormat="false" ht="13.8" hidden="false" customHeight="false" outlineLevel="0" collapsed="false">
      <c r="A18" s="0" t="s">
        <v>21</v>
      </c>
      <c r="B18" s="0" t="n">
        <v>142</v>
      </c>
      <c r="C18" s="0" t="n">
        <v>10634</v>
      </c>
      <c r="D18" s="0" t="n">
        <v>11176</v>
      </c>
      <c r="E18" s="0" t="n">
        <v>10899</v>
      </c>
      <c r="F18" s="0" t="n">
        <v>10899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440.994182971973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</row>
    <row r="19" customFormat="false" ht="13.8" hidden="false" customHeight="false" outlineLevel="0" collapsed="false">
      <c r="A19" s="0" t="s">
        <v>22</v>
      </c>
      <c r="B19" s="0" t="n">
        <v>150</v>
      </c>
      <c r="C19" s="0" t="n">
        <v>11056</v>
      </c>
      <c r="D19" s="0" t="n">
        <v>11525</v>
      </c>
      <c r="E19" s="0" t="n">
        <v>11182</v>
      </c>
      <c r="F19" s="0" t="n">
        <v>11193</v>
      </c>
      <c r="G19" s="0" t="n">
        <v>0</v>
      </c>
      <c r="H19" s="0" t="n">
        <v>0</v>
      </c>
      <c r="I19" s="0" t="n">
        <v>220.497091485986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661.491274457959</v>
      </c>
      <c r="O19" s="0" t="n">
        <v>0</v>
      </c>
      <c r="P19" s="0" t="n">
        <v>1543.4796404019</v>
      </c>
      <c r="Q19" s="0" t="n">
        <v>0</v>
      </c>
      <c r="R19" s="0" t="n">
        <v>0</v>
      </c>
      <c r="S19" s="0" t="n">
        <v>7937.89529349551</v>
      </c>
      <c r="T19" s="0" t="n">
        <v>220.497091485986</v>
      </c>
      <c r="U19" s="0" t="n">
        <v>1322.98254891592</v>
      </c>
      <c r="V19" s="0" t="n">
        <v>0</v>
      </c>
      <c r="W19" s="0" t="n">
        <v>0</v>
      </c>
      <c r="X19" s="0" t="n">
        <v>661.491274457959</v>
      </c>
      <c r="Y19" s="0" t="n">
        <v>0</v>
      </c>
      <c r="Z19" s="0" t="n">
        <v>0</v>
      </c>
      <c r="AA19" s="0" t="n">
        <v>0</v>
      </c>
      <c r="AB19" s="0" t="n">
        <v>0</v>
      </c>
    </row>
    <row r="20" customFormat="false" ht="13.8" hidden="false" customHeight="false" outlineLevel="0" collapsed="false">
      <c r="A20" s="0" t="s">
        <v>23</v>
      </c>
      <c r="B20" s="0" t="n">
        <v>158</v>
      </c>
      <c r="C20" s="0" t="n">
        <v>11470</v>
      </c>
      <c r="D20" s="0" t="n">
        <v>12089</v>
      </c>
      <c r="E20" s="0" t="n">
        <v>11734</v>
      </c>
      <c r="F20" s="0" t="n">
        <v>11745</v>
      </c>
      <c r="G20" s="0" t="n">
        <v>0</v>
      </c>
      <c r="H20" s="0" t="n">
        <v>220.497091485986</v>
      </c>
      <c r="I20" s="0" t="n">
        <v>440.994182971973</v>
      </c>
      <c r="J20" s="0" t="n">
        <v>220.497091485986</v>
      </c>
      <c r="K20" s="0" t="n">
        <v>0</v>
      </c>
      <c r="L20" s="0" t="n">
        <v>0</v>
      </c>
      <c r="M20" s="0" t="n">
        <v>0</v>
      </c>
      <c r="N20" s="0" t="n">
        <v>220.497091485986</v>
      </c>
      <c r="O20" s="0" t="n">
        <v>0</v>
      </c>
      <c r="P20" s="0" t="n">
        <v>220.497091485986</v>
      </c>
      <c r="Q20" s="0" t="n">
        <v>0</v>
      </c>
      <c r="R20" s="0" t="n">
        <v>0</v>
      </c>
      <c r="S20" s="0" t="n">
        <v>9701.87202538339</v>
      </c>
      <c r="T20" s="0" t="n">
        <v>0</v>
      </c>
      <c r="U20" s="0" t="n">
        <v>220.497091485986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</row>
    <row r="21" customFormat="false" ht="13.8" hidden="false" customHeight="false" outlineLevel="0" collapsed="false">
      <c r="A21" s="0" t="s">
        <v>24</v>
      </c>
      <c r="B21" s="0" t="n">
        <v>166</v>
      </c>
      <c r="C21" s="0" t="n">
        <v>11992</v>
      </c>
      <c r="D21" s="0" t="n">
        <v>12594</v>
      </c>
      <c r="E21" s="0" t="n">
        <v>12220</v>
      </c>
      <c r="F21" s="0" t="n">
        <v>12252</v>
      </c>
      <c r="G21" s="0" t="n">
        <v>220.497091485986</v>
      </c>
      <c r="H21" s="0" t="n">
        <v>0</v>
      </c>
      <c r="I21" s="0" t="n">
        <v>661.491274457959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440.994182971973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10363.3632998414</v>
      </c>
      <c r="T21" s="0" t="n">
        <v>0</v>
      </c>
      <c r="U21" s="0" t="n">
        <v>1102.48545742993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220.497091485986</v>
      </c>
      <c r="AA21" s="0" t="n">
        <v>0</v>
      </c>
      <c r="AB21" s="0" t="n">
        <v>0</v>
      </c>
    </row>
    <row r="22" customFormat="false" ht="13.8" hidden="false" customHeight="false" outlineLevel="0" collapsed="false">
      <c r="A22" s="0" t="s">
        <v>25</v>
      </c>
      <c r="B22" s="0" t="n">
        <v>174</v>
      </c>
      <c r="C22" s="0" t="n">
        <v>12224</v>
      </c>
      <c r="D22" s="0" t="n">
        <v>12898</v>
      </c>
      <c r="E22" s="0" t="n">
        <v>12481</v>
      </c>
      <c r="F22" s="0" t="n">
        <v>12512</v>
      </c>
      <c r="G22" s="0" t="n">
        <v>0</v>
      </c>
      <c r="H22" s="0" t="n">
        <v>0</v>
      </c>
      <c r="I22" s="0" t="n">
        <v>661.491274457959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661.491274457959</v>
      </c>
      <c r="O22" s="0" t="n">
        <v>220.497091485986</v>
      </c>
      <c r="P22" s="0" t="n">
        <v>220.497091485986</v>
      </c>
      <c r="Q22" s="0" t="n">
        <v>0</v>
      </c>
      <c r="R22" s="0" t="n">
        <v>0</v>
      </c>
      <c r="S22" s="0" t="n">
        <v>6614.91274457959</v>
      </c>
      <c r="T22" s="0" t="n">
        <v>220.497091485986</v>
      </c>
      <c r="U22" s="0" t="n">
        <v>2204.97091485986</v>
      </c>
      <c r="V22" s="0" t="n">
        <v>220.497091485986</v>
      </c>
      <c r="W22" s="0" t="n">
        <v>0</v>
      </c>
      <c r="X22" s="0" t="n">
        <v>661.491274457959</v>
      </c>
      <c r="Y22" s="0" t="n">
        <v>0</v>
      </c>
      <c r="Z22" s="0" t="n">
        <v>220.497091485986</v>
      </c>
      <c r="AA22" s="0" t="n">
        <v>0</v>
      </c>
      <c r="AB22" s="0" t="n">
        <v>0</v>
      </c>
    </row>
    <row r="23" customFormat="false" ht="13.8" hidden="false" customHeight="false" outlineLevel="0" collapsed="false">
      <c r="A23" s="0" t="s">
        <v>26</v>
      </c>
      <c r="B23" s="0" t="n">
        <v>182</v>
      </c>
      <c r="C23" s="0" t="n">
        <v>12346</v>
      </c>
      <c r="D23" s="0" t="n">
        <v>13269</v>
      </c>
      <c r="E23" s="0" t="n">
        <v>12618</v>
      </c>
      <c r="F23" s="0" t="n">
        <v>12658</v>
      </c>
      <c r="G23" s="0" t="n">
        <v>0</v>
      </c>
      <c r="H23" s="0" t="n">
        <v>0</v>
      </c>
      <c r="I23" s="0" t="n">
        <v>440.994182971973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220.497091485986</v>
      </c>
      <c r="R23" s="0" t="n">
        <v>0</v>
      </c>
      <c r="S23" s="0" t="n">
        <v>18962.7498677948</v>
      </c>
      <c r="T23" s="0" t="n">
        <v>0</v>
      </c>
      <c r="U23" s="0" t="n">
        <v>2425.46800634585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</row>
    <row r="24" customFormat="false" ht="13.8" hidden="false" customHeight="false" outlineLevel="0" collapsed="false">
      <c r="A24" s="0" t="s">
        <v>27</v>
      </c>
      <c r="B24" s="0" t="n">
        <v>190</v>
      </c>
      <c r="C24" s="0" t="n">
        <v>12583</v>
      </c>
      <c r="D24" s="0" t="n">
        <v>13821</v>
      </c>
      <c r="E24" s="0" t="n">
        <v>12862</v>
      </c>
      <c r="F24" s="0" t="n">
        <v>12915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661.491274457959</v>
      </c>
      <c r="O24" s="0" t="n">
        <v>0</v>
      </c>
      <c r="P24" s="0" t="n">
        <v>220.497091485986</v>
      </c>
      <c r="Q24" s="0" t="n">
        <v>0</v>
      </c>
      <c r="R24" s="0" t="n">
        <v>0</v>
      </c>
      <c r="S24" s="0" t="n">
        <v>27562.1364357483</v>
      </c>
      <c r="T24" s="0" t="n">
        <v>0</v>
      </c>
      <c r="U24" s="0" t="n">
        <v>1984.47382337388</v>
      </c>
      <c r="V24" s="0" t="n">
        <v>0</v>
      </c>
      <c r="W24" s="0" t="n">
        <v>0</v>
      </c>
      <c r="X24" s="0" t="n">
        <v>440.994182971973</v>
      </c>
      <c r="Y24" s="0" t="n">
        <v>0</v>
      </c>
      <c r="Z24" s="0" t="n">
        <v>0</v>
      </c>
      <c r="AA24" s="0" t="n">
        <v>0</v>
      </c>
      <c r="AB24" s="0" t="n">
        <v>0</v>
      </c>
    </row>
    <row r="25" customFormat="false" ht="13.8" hidden="false" customHeight="false" outlineLevel="0" collapsed="false">
      <c r="A25" s="0" t="s">
        <v>28</v>
      </c>
      <c r="B25" s="0" t="n">
        <v>198</v>
      </c>
      <c r="C25" s="0" t="n">
        <v>12888</v>
      </c>
      <c r="D25" s="0" t="n">
        <v>14342</v>
      </c>
      <c r="E25" s="0" t="n">
        <v>13072</v>
      </c>
      <c r="F25" s="0" t="n">
        <v>13160</v>
      </c>
      <c r="G25" s="0" t="n">
        <v>220.497091485986</v>
      </c>
      <c r="H25" s="0" t="n">
        <v>220.497091485986</v>
      </c>
      <c r="I25" s="0" t="n">
        <v>661.491274457959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881.988365943945</v>
      </c>
      <c r="O25" s="0" t="n">
        <v>440.994182971973</v>
      </c>
      <c r="P25" s="0" t="n">
        <v>881.988365943945</v>
      </c>
      <c r="Q25" s="0" t="n">
        <v>0</v>
      </c>
      <c r="R25" s="0" t="n">
        <v>220.497091485986</v>
      </c>
      <c r="S25" s="0" t="n">
        <v>21829.2120571126</v>
      </c>
      <c r="T25" s="0" t="n">
        <v>0</v>
      </c>
      <c r="U25" s="0" t="n">
        <v>2645.96509783184</v>
      </c>
      <c r="V25" s="0" t="n">
        <v>0</v>
      </c>
      <c r="W25" s="0" t="n">
        <v>0</v>
      </c>
      <c r="X25" s="0" t="n">
        <v>881.988365943945</v>
      </c>
      <c r="Y25" s="0" t="n">
        <v>0</v>
      </c>
      <c r="Z25" s="0" t="n">
        <v>0</v>
      </c>
      <c r="AA25" s="0" t="n">
        <v>0</v>
      </c>
      <c r="AB25" s="0" t="n">
        <v>0</v>
      </c>
    </row>
    <row r="26" customFormat="false" ht="13.8" hidden="false" customHeight="false" outlineLevel="0" collapsed="false">
      <c r="A26" s="0" t="s">
        <v>29</v>
      </c>
      <c r="B26" s="0" t="n">
        <v>206</v>
      </c>
      <c r="C26" s="0" t="n">
        <v>13242</v>
      </c>
      <c r="D26" s="0" t="n">
        <v>15037</v>
      </c>
      <c r="E26" s="0" t="n">
        <v>13668</v>
      </c>
      <c r="F26" s="0" t="n">
        <v>13763</v>
      </c>
      <c r="G26" s="0" t="n">
        <v>220.497091485986</v>
      </c>
      <c r="H26" s="0" t="n">
        <v>0</v>
      </c>
      <c r="I26" s="0" t="n">
        <v>440.994182971973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440.994182971973</v>
      </c>
      <c r="O26" s="0" t="n">
        <v>220.497091485986</v>
      </c>
      <c r="P26" s="0" t="n">
        <v>1102.48545742993</v>
      </c>
      <c r="Q26" s="0" t="n">
        <v>0</v>
      </c>
      <c r="R26" s="0" t="n">
        <v>0</v>
      </c>
      <c r="S26" s="0" t="n">
        <v>26680.1480698043</v>
      </c>
      <c r="T26" s="0" t="n">
        <v>220.497091485986</v>
      </c>
      <c r="U26" s="0" t="n">
        <v>1984.47382337388</v>
      </c>
      <c r="V26" s="0" t="n">
        <v>0</v>
      </c>
      <c r="W26" s="0" t="n">
        <v>0</v>
      </c>
      <c r="X26" s="0" t="n">
        <v>440.994182971973</v>
      </c>
      <c r="Y26" s="0" t="n">
        <v>0</v>
      </c>
      <c r="Z26" s="0" t="n">
        <v>0</v>
      </c>
      <c r="AA26" s="0" t="n">
        <v>0</v>
      </c>
      <c r="AB26" s="0" t="n">
        <v>0</v>
      </c>
    </row>
    <row r="27" customFormat="false" ht="13.8" hidden="false" customHeight="false" outlineLevel="0" collapsed="false">
      <c r="A27" s="0" t="s">
        <v>30</v>
      </c>
      <c r="B27" s="0" t="n">
        <v>214</v>
      </c>
      <c r="C27" s="0" t="n">
        <v>13733</v>
      </c>
      <c r="D27" s="0" t="n">
        <v>15853</v>
      </c>
      <c r="E27" s="0" t="n">
        <v>14434</v>
      </c>
      <c r="F27" s="0" t="n">
        <v>14515</v>
      </c>
      <c r="G27" s="0" t="n">
        <v>0</v>
      </c>
      <c r="H27" s="0" t="n">
        <v>0</v>
      </c>
      <c r="I27" s="0" t="n">
        <v>1102.48545742993</v>
      </c>
      <c r="J27" s="0" t="n">
        <v>440.994182971973</v>
      </c>
      <c r="K27" s="0" t="n">
        <v>0</v>
      </c>
      <c r="L27" s="0" t="n">
        <v>0</v>
      </c>
      <c r="M27" s="0" t="n">
        <v>0</v>
      </c>
      <c r="N27" s="0" t="n">
        <v>220.497091485986</v>
      </c>
      <c r="O27" s="0" t="n">
        <v>0</v>
      </c>
      <c r="P27" s="0" t="n">
        <v>661.491274457959</v>
      </c>
      <c r="Q27" s="0" t="n">
        <v>0</v>
      </c>
      <c r="R27" s="0" t="n">
        <v>0</v>
      </c>
      <c r="S27" s="0" t="n">
        <v>36161.5230037017</v>
      </c>
      <c r="T27" s="0" t="n">
        <v>0</v>
      </c>
      <c r="U27" s="0" t="n">
        <v>5953.42147012163</v>
      </c>
      <c r="V27" s="0" t="n">
        <v>0</v>
      </c>
      <c r="W27" s="0" t="n">
        <v>220.497091485986</v>
      </c>
      <c r="X27" s="0" t="n">
        <v>661.491274457959</v>
      </c>
      <c r="Y27" s="0" t="n">
        <v>220.497091485986</v>
      </c>
      <c r="Z27" s="0" t="n">
        <v>0</v>
      </c>
      <c r="AA27" s="0" t="n">
        <v>0</v>
      </c>
      <c r="AB27" s="0" t="n">
        <v>0</v>
      </c>
    </row>
    <row r="28" customFormat="false" ht="13.8" hidden="false" customHeight="false" outlineLevel="0" collapsed="false">
      <c r="A28" s="0" t="s">
        <v>31</v>
      </c>
      <c r="B28" s="0" t="n">
        <v>222</v>
      </c>
      <c r="C28" s="0" t="n">
        <v>14365</v>
      </c>
      <c r="D28" s="0" t="n">
        <v>16716</v>
      </c>
      <c r="E28" s="0" t="n">
        <v>15208</v>
      </c>
      <c r="F28" s="0" t="n">
        <v>15270</v>
      </c>
      <c r="G28" s="0" t="n">
        <v>0</v>
      </c>
      <c r="H28" s="0" t="n">
        <v>0</v>
      </c>
      <c r="I28" s="0" t="n">
        <v>1102.48545742993</v>
      </c>
      <c r="J28" s="0" t="n">
        <v>661.491274457959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18962.7498677948</v>
      </c>
      <c r="T28" s="0" t="n">
        <v>0</v>
      </c>
      <c r="U28" s="0" t="n">
        <v>2866.46218931782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</row>
    <row r="29" customFormat="false" ht="13.8" hidden="false" customHeight="false" outlineLevel="0" collapsed="false">
      <c r="A29" s="0" t="s">
        <v>32</v>
      </c>
      <c r="B29" s="0" t="n">
        <v>230</v>
      </c>
      <c r="C29" s="0" t="n">
        <v>15140</v>
      </c>
      <c r="D29" s="0" t="n">
        <v>17581</v>
      </c>
      <c r="E29" s="0" t="n">
        <v>16180</v>
      </c>
      <c r="F29" s="0" t="n">
        <v>16222</v>
      </c>
      <c r="G29" s="0" t="n">
        <v>0</v>
      </c>
      <c r="H29" s="0" t="n">
        <v>0</v>
      </c>
      <c r="I29" s="0" t="n">
        <v>440.994182971973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220.497091485986</v>
      </c>
      <c r="O29" s="0" t="n">
        <v>0</v>
      </c>
      <c r="P29" s="0" t="n">
        <v>440.994182971973</v>
      </c>
      <c r="Q29" s="0" t="n">
        <v>0</v>
      </c>
      <c r="R29" s="0" t="n">
        <v>0</v>
      </c>
      <c r="S29" s="0" t="n">
        <v>20947.2236911687</v>
      </c>
      <c r="T29" s="0" t="n">
        <v>0</v>
      </c>
      <c r="U29" s="0" t="n">
        <v>4189.44473823374</v>
      </c>
      <c r="V29" s="0" t="n">
        <v>0</v>
      </c>
      <c r="W29" s="0" t="n">
        <v>0</v>
      </c>
      <c r="X29" s="0" t="n">
        <v>220.497091485986</v>
      </c>
      <c r="Y29" s="0" t="n">
        <v>0</v>
      </c>
      <c r="Z29" s="0" t="n">
        <v>0</v>
      </c>
      <c r="AA29" s="0" t="n">
        <v>0</v>
      </c>
      <c r="AB29" s="0" t="n">
        <v>0</v>
      </c>
    </row>
    <row r="30" customFormat="false" ht="13.8" hidden="false" customHeight="false" outlineLevel="0" collapsed="false">
      <c r="A30" s="0" t="s">
        <v>33</v>
      </c>
      <c r="B30" s="0" t="n">
        <v>238</v>
      </c>
      <c r="C30" s="0" t="n">
        <v>16033</v>
      </c>
      <c r="D30" s="0" t="n">
        <v>18471</v>
      </c>
      <c r="E30" s="0" t="n">
        <v>17218</v>
      </c>
      <c r="F30" s="0" t="n">
        <v>17229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220.497091485986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1102.48545742993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</row>
    <row r="31" customFormat="false" ht="13.8" hidden="false" customHeight="false" outlineLevel="0" collapsed="false">
      <c r="A31" s="0" t="s">
        <v>34</v>
      </c>
      <c r="B31" s="0" t="n">
        <v>246</v>
      </c>
      <c r="C31" s="0" t="n">
        <v>17080</v>
      </c>
      <c r="D31" s="0" t="n">
        <v>19277</v>
      </c>
      <c r="E31" s="0" t="n">
        <v>18271</v>
      </c>
      <c r="F31" s="0" t="n">
        <v>18248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881.988365943945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</row>
    <row r="32" customFormat="false" ht="13.8" hidden="false" customHeight="false" outlineLevel="0" collapsed="false">
      <c r="A32" s="0" t="s">
        <v>35</v>
      </c>
      <c r="B32" s="0" t="n">
        <v>254</v>
      </c>
      <c r="C32" s="0" t="n">
        <v>18272</v>
      </c>
      <c r="D32" s="0" t="n">
        <v>19959</v>
      </c>
      <c r="E32" s="0" t="n">
        <v>19250</v>
      </c>
      <c r="F32" s="0" t="n">
        <v>19234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7055.90692755156</v>
      </c>
      <c r="T32" s="0" t="n">
        <v>0</v>
      </c>
      <c r="U32" s="0" t="n">
        <v>881.988365943945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</row>
    <row r="33" customFormat="false" ht="13.8" hidden="false" customHeight="false" outlineLevel="0" collapsed="false">
      <c r="A33" s="0" t="s">
        <v>36</v>
      </c>
      <c r="B33" s="0" t="n">
        <v>262</v>
      </c>
      <c r="C33" s="0" t="n">
        <v>19164</v>
      </c>
      <c r="D33" s="0" t="n">
        <v>20332</v>
      </c>
      <c r="E33" s="0" t="n">
        <v>19793</v>
      </c>
      <c r="F33" s="0" t="n">
        <v>19780</v>
      </c>
      <c r="G33" s="0" t="n">
        <v>0</v>
      </c>
      <c r="H33" s="0" t="n">
        <v>0</v>
      </c>
      <c r="I33" s="0" t="n">
        <v>440.994182971973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440.994182971973</v>
      </c>
      <c r="O33" s="0" t="n">
        <v>220.497091485986</v>
      </c>
      <c r="P33" s="0" t="n">
        <v>2866.46218931782</v>
      </c>
      <c r="Q33" s="0" t="n">
        <v>0</v>
      </c>
      <c r="R33" s="0" t="n">
        <v>0</v>
      </c>
      <c r="S33" s="0" t="n">
        <v>6173.91856160762</v>
      </c>
      <c r="T33" s="0" t="n">
        <v>0</v>
      </c>
      <c r="U33" s="0" t="n">
        <v>1322.98254891592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2017-09-08T14:40:49Z</dcterms:created>
  <dc:creator>Siv</dc:creator>
  <dc:description/>
  <dc:language>en-US</dc:language>
  <cp:lastModifiedBy/>
  <dcterms:modified xsi:type="dcterms:W3CDTF">2025-01-07T09:26:15Z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