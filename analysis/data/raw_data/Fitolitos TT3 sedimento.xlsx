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 activeTab="1"/>
  </bookViews>
  <sheets>
    <sheet name="Frecuencias_Familias" sheetId="2" r:id="rId1"/>
    <sheet name="Datos brutos_Frec morfotipo" sheetId="4" r:id="rId2"/>
    <sheet name="Porcentaje_Famili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7" i="4" l="1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</calcChain>
</file>

<file path=xl/sharedStrings.xml><?xml version="1.0" encoding="utf-8"?>
<sst xmlns="http://schemas.openxmlformats.org/spreadsheetml/2006/main" count="147" uniqueCount="102">
  <si>
    <t>Depth (cm)</t>
  </si>
  <si>
    <t>Age (years BP)</t>
  </si>
  <si>
    <t>Poaceae</t>
  </si>
  <si>
    <t>Panicoideae</t>
  </si>
  <si>
    <t>Pooideae</t>
  </si>
  <si>
    <t>Bambusoideae</t>
  </si>
  <si>
    <t>Chloridoid</t>
  </si>
  <si>
    <t>Cyperaceae</t>
  </si>
  <si>
    <t>Asteraceae</t>
  </si>
  <si>
    <t>Arboreal</t>
  </si>
  <si>
    <t>Jubaea sp</t>
  </si>
  <si>
    <t>Age (14C years BP)</t>
  </si>
  <si>
    <t>Data</t>
  </si>
  <si>
    <t>9 - 10 CM</t>
  </si>
  <si>
    <t>13 - 14 CM</t>
  </si>
  <si>
    <t>25 - 26 CM</t>
  </si>
  <si>
    <t>33- 34 CM</t>
  </si>
  <si>
    <t>43 - 44 CM</t>
  </si>
  <si>
    <t>58 - 59 CM</t>
  </si>
  <si>
    <t>66 - 67 CM</t>
  </si>
  <si>
    <t>78 - 79 CM</t>
  </si>
  <si>
    <t>86 - 87 CM</t>
  </si>
  <si>
    <t>98 - 99 CM</t>
  </si>
  <si>
    <t>106 - 107 CM</t>
  </si>
  <si>
    <t>122 - 123 CM</t>
  </si>
  <si>
    <t>130 - 131 CM</t>
  </si>
  <si>
    <t>138 - 139 CM</t>
  </si>
  <si>
    <t>142 - 143 CM</t>
  </si>
  <si>
    <t>150 - 151 CM</t>
  </si>
  <si>
    <t>158 - 159 CM</t>
  </si>
  <si>
    <t>162 -163 CM</t>
  </si>
  <si>
    <t>170 - 171 CM</t>
  </si>
  <si>
    <t>178 - 179 CM</t>
  </si>
  <si>
    <t>202 - 203 CM</t>
  </si>
  <si>
    <t>230 - 231 CM</t>
  </si>
  <si>
    <t>254 - 255 CM</t>
  </si>
  <si>
    <t>266 - 267 CM</t>
  </si>
  <si>
    <t>Asignación</t>
  </si>
  <si>
    <t>Morfotipo</t>
  </si>
  <si>
    <t>TAG1</t>
  </si>
  <si>
    <t>TAG2</t>
  </si>
  <si>
    <t>TAG3</t>
  </si>
  <si>
    <t>TAG4</t>
  </si>
  <si>
    <t>TAG5</t>
  </si>
  <si>
    <t>TAG6</t>
  </si>
  <si>
    <t>TAG7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</si>
  <si>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</si>
  <si>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</si>
  <si>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</si>
  <si>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</si>
  <si>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</si>
  <si>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</si>
  <si>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</si>
  <si>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</si>
  <si>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TAG16</t>
  </si>
  <si>
    <t>TAG17</t>
  </si>
  <si>
    <t>TAG18</t>
  </si>
  <si>
    <t>TAG19</t>
  </si>
  <si>
    <t>TAG20</t>
  </si>
  <si>
    <t>TAG21</t>
  </si>
  <si>
    <t>TAG22</t>
  </si>
  <si>
    <t>TAG23</t>
  </si>
  <si>
    <t>TAG24</t>
  </si>
  <si>
    <t>Elongate dendritic</t>
  </si>
  <si>
    <t>Elongate</t>
  </si>
  <si>
    <t>Elongate dentate</t>
  </si>
  <si>
    <t>Elongate sinuate</t>
  </si>
  <si>
    <t>Elongate smooth</t>
  </si>
  <si>
    <t>Rondel</t>
  </si>
  <si>
    <t xml:space="preserve">Rondel Bambusoidae leaf </t>
  </si>
  <si>
    <t xml:space="preserve">Rondel Bambusoidae leaf spiked </t>
  </si>
  <si>
    <t>low conical rondel</t>
  </si>
  <si>
    <t>tall conical rondel</t>
  </si>
  <si>
    <t>Bilobate</t>
  </si>
  <si>
    <t>Bilobate  panicoid type</t>
  </si>
  <si>
    <t>Bodies with elliptoid/biloboid tendencie</t>
  </si>
  <si>
    <t>Bilobate bambusoideae</t>
  </si>
  <si>
    <t>Polylobate</t>
  </si>
  <si>
    <t>Buliforme Bambusoideae</t>
  </si>
  <si>
    <t>Bulliform</t>
  </si>
  <si>
    <t>Tall saddle</t>
  </si>
  <si>
    <t>Collapsed saddle</t>
  </si>
  <si>
    <t>Short Saddle</t>
  </si>
  <si>
    <t>Cyper</t>
  </si>
  <si>
    <t>Cyperaceae cones</t>
  </si>
  <si>
    <t>Cyperus reflexus (typical
Carex achene bodies)</t>
  </si>
  <si>
    <t>Cyperus densely stippled surface</t>
  </si>
  <si>
    <t>Cross Shaped tent like arch</t>
  </si>
  <si>
    <t>Cross Shaped Nodules/Blocky Bambusoideae</t>
  </si>
  <si>
    <t>Sloping Trapezoids/ Rectangular</t>
  </si>
  <si>
    <t>Cross Shaped Scooped concave</t>
  </si>
  <si>
    <t>Woody eudicot</t>
  </si>
  <si>
    <t>Globular granulate</t>
  </si>
  <si>
    <t>Spheroids ornate</t>
  </si>
  <si>
    <t>Globular echinate</t>
  </si>
  <si>
    <t>Globular psilate</t>
  </si>
  <si>
    <t>opaque perforated plate</t>
  </si>
  <si>
    <t>blocky poliedral</t>
  </si>
  <si>
    <t>jigsaw puzzle</t>
  </si>
  <si>
    <t>Sclereid</t>
  </si>
  <si>
    <t>Wavy trapezoid</t>
  </si>
  <si>
    <t>Pooideae oblong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</si>
</sst>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theme="1"/>
      <name val="Calibri "/>
    </font>
    <font>
      <b/>
      <sz val="10"/>
      <name val="Calibri Light"/>
      <family val="2"/>
      <scheme val="major"/>
    </font>
    <font>
      <sz val="10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activeCell="G18" sqref="G18"/>
    </sheetView>
  </sheetViews>
  <sheetFormatPr baseColWidth="10" defaultRowHeight="15"/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9</v>
      </c>
      <c r="C2" s="2">
        <v>106</v>
      </c>
      <c r="D2" s="2">
        <v>11</v>
      </c>
      <c r="E2" s="2">
        <v>10</v>
      </c>
      <c r="F2" s="2">
        <v>8</v>
      </c>
      <c r="G2" s="2">
        <v>6</v>
      </c>
      <c r="H2" s="2">
        <v>4</v>
      </c>
      <c r="I2" s="2">
        <v>0</v>
      </c>
      <c r="J2" s="2">
        <v>55</v>
      </c>
      <c r="K2" s="2">
        <v>0</v>
      </c>
    </row>
    <row r="3" spans="1:11">
      <c r="A3" s="2">
        <v>13</v>
      </c>
      <c r="B3" s="2"/>
      <c r="C3" s="2">
        <v>105</v>
      </c>
      <c r="D3" s="2">
        <v>20</v>
      </c>
      <c r="E3" s="2">
        <v>44</v>
      </c>
      <c r="F3" s="2">
        <v>8</v>
      </c>
      <c r="G3" s="2">
        <v>6</v>
      </c>
      <c r="H3" s="2">
        <v>4</v>
      </c>
      <c r="I3" s="2">
        <v>0</v>
      </c>
      <c r="J3" s="2">
        <v>13</v>
      </c>
      <c r="K3" s="2">
        <v>0</v>
      </c>
    </row>
    <row r="4" spans="1:11">
      <c r="A4" s="2">
        <v>25</v>
      </c>
      <c r="B4" s="2"/>
      <c r="C4" s="2">
        <v>105</v>
      </c>
      <c r="D4" s="2">
        <v>1</v>
      </c>
      <c r="E4" s="2">
        <v>23</v>
      </c>
      <c r="F4" s="2">
        <v>3</v>
      </c>
      <c r="G4" s="2">
        <v>4</v>
      </c>
      <c r="H4" s="2">
        <v>1</v>
      </c>
      <c r="I4" s="2">
        <v>0</v>
      </c>
      <c r="J4" s="2">
        <v>63</v>
      </c>
      <c r="K4" s="2">
        <v>0</v>
      </c>
    </row>
    <row r="5" spans="1:11">
      <c r="A5" s="2">
        <v>33</v>
      </c>
      <c r="B5" s="2"/>
      <c r="C5" s="2">
        <v>82</v>
      </c>
      <c r="D5" s="2">
        <v>5</v>
      </c>
      <c r="E5" s="2">
        <v>24</v>
      </c>
      <c r="F5" s="2">
        <v>5</v>
      </c>
      <c r="G5" s="2">
        <v>11</v>
      </c>
      <c r="H5" s="2">
        <v>0</v>
      </c>
      <c r="I5" s="2">
        <v>0</v>
      </c>
      <c r="J5" s="2">
        <v>73</v>
      </c>
      <c r="K5" s="2">
        <v>0</v>
      </c>
    </row>
    <row r="6" spans="1:11">
      <c r="A6" s="2">
        <v>43</v>
      </c>
      <c r="B6">
        <v>6471</v>
      </c>
      <c r="C6" s="2">
        <v>67</v>
      </c>
      <c r="D6" s="2">
        <v>5</v>
      </c>
      <c r="E6" s="2">
        <v>11</v>
      </c>
      <c r="F6" s="2">
        <v>8</v>
      </c>
      <c r="G6" s="2">
        <v>6</v>
      </c>
      <c r="H6" s="2">
        <v>1</v>
      </c>
      <c r="I6" s="2">
        <v>0</v>
      </c>
      <c r="J6" s="2">
        <v>99</v>
      </c>
      <c r="K6" s="2">
        <v>3</v>
      </c>
    </row>
    <row r="7" spans="1:11">
      <c r="A7" s="2">
        <v>58</v>
      </c>
      <c r="B7">
        <v>7514</v>
      </c>
      <c r="C7" s="2">
        <v>97</v>
      </c>
      <c r="D7" s="2">
        <v>3</v>
      </c>
      <c r="E7" s="2">
        <v>13</v>
      </c>
      <c r="F7" s="2">
        <v>16</v>
      </c>
      <c r="G7" s="2">
        <v>2</v>
      </c>
      <c r="H7" s="2">
        <v>0</v>
      </c>
      <c r="I7" s="2">
        <v>0</v>
      </c>
      <c r="J7" s="2">
        <v>66</v>
      </c>
      <c r="K7" s="2">
        <v>3</v>
      </c>
    </row>
    <row r="8" spans="1:11">
      <c r="A8" s="2">
        <v>66</v>
      </c>
      <c r="B8">
        <v>7977</v>
      </c>
      <c r="C8" s="2">
        <v>109</v>
      </c>
      <c r="D8" s="2">
        <v>3</v>
      </c>
      <c r="E8" s="2">
        <v>22</v>
      </c>
      <c r="F8" s="2">
        <v>12</v>
      </c>
      <c r="G8" s="2">
        <v>4</v>
      </c>
      <c r="H8" s="2">
        <v>0</v>
      </c>
      <c r="I8" s="2">
        <v>0</v>
      </c>
      <c r="J8" s="2">
        <v>49</v>
      </c>
      <c r="K8" s="2">
        <v>1</v>
      </c>
    </row>
    <row r="9" spans="1:11">
      <c r="A9" s="2">
        <v>78</v>
      </c>
      <c r="B9">
        <v>8483</v>
      </c>
      <c r="C9" s="2">
        <v>73</v>
      </c>
      <c r="D9" s="2">
        <v>15</v>
      </c>
      <c r="E9" s="2">
        <v>37</v>
      </c>
      <c r="F9" s="2">
        <v>21</v>
      </c>
      <c r="G9" s="2">
        <v>8</v>
      </c>
      <c r="H9" s="2">
        <v>0</v>
      </c>
      <c r="I9" s="2">
        <v>0</v>
      </c>
      <c r="J9" s="2">
        <v>46</v>
      </c>
      <c r="K9" s="2">
        <v>0</v>
      </c>
    </row>
    <row r="10" spans="1:11">
      <c r="A10" s="2">
        <v>86</v>
      </c>
      <c r="B10">
        <v>8812</v>
      </c>
      <c r="C10" s="2">
        <v>83</v>
      </c>
      <c r="D10" s="2">
        <v>22</v>
      </c>
      <c r="E10" s="2">
        <v>16</v>
      </c>
      <c r="F10" s="2">
        <v>18</v>
      </c>
      <c r="G10" s="2">
        <v>10</v>
      </c>
      <c r="H10" s="2">
        <v>4</v>
      </c>
      <c r="I10" s="2">
        <v>0</v>
      </c>
      <c r="J10" s="2">
        <v>41</v>
      </c>
      <c r="K10" s="2">
        <v>6</v>
      </c>
    </row>
    <row r="11" spans="1:11">
      <c r="A11" s="2">
        <v>98</v>
      </c>
      <c r="B11">
        <v>9298</v>
      </c>
      <c r="C11" s="2">
        <v>75</v>
      </c>
      <c r="D11" s="2">
        <v>13</v>
      </c>
      <c r="E11" s="2">
        <v>35</v>
      </c>
      <c r="F11" s="2">
        <v>14</v>
      </c>
      <c r="G11" s="2">
        <v>31</v>
      </c>
      <c r="H11" s="2">
        <v>2</v>
      </c>
      <c r="I11" s="2">
        <v>0</v>
      </c>
      <c r="J11" s="2">
        <v>29</v>
      </c>
      <c r="K11" s="2">
        <v>1</v>
      </c>
    </row>
    <row r="12" spans="1:11">
      <c r="A12" s="2">
        <v>106</v>
      </c>
      <c r="B12">
        <v>9604</v>
      </c>
      <c r="C12" s="2">
        <v>56</v>
      </c>
      <c r="D12" s="2">
        <v>8</v>
      </c>
      <c r="E12" s="2">
        <v>8</v>
      </c>
      <c r="F12" s="2">
        <v>17</v>
      </c>
      <c r="G12" s="2">
        <v>14</v>
      </c>
      <c r="H12" s="2">
        <v>1</v>
      </c>
      <c r="I12" s="2">
        <v>0</v>
      </c>
      <c r="J12" s="2">
        <v>93</v>
      </c>
      <c r="K12" s="2">
        <v>3</v>
      </c>
    </row>
    <row r="13" spans="1:11">
      <c r="A13" s="2">
        <v>122</v>
      </c>
      <c r="B13">
        <v>10144</v>
      </c>
      <c r="C13" s="2">
        <v>57</v>
      </c>
      <c r="D13" s="2">
        <v>23</v>
      </c>
      <c r="E13" s="2">
        <v>30</v>
      </c>
      <c r="F13" s="2">
        <v>24</v>
      </c>
      <c r="G13" s="2">
        <v>14</v>
      </c>
      <c r="H13" s="2">
        <v>7</v>
      </c>
      <c r="I13" s="2">
        <v>0</v>
      </c>
      <c r="J13" s="2">
        <v>43</v>
      </c>
      <c r="K13" s="2">
        <v>2</v>
      </c>
    </row>
    <row r="14" spans="1:11">
      <c r="A14" s="2">
        <v>130</v>
      </c>
      <c r="B14">
        <v>10404</v>
      </c>
      <c r="C14" s="2">
        <v>76</v>
      </c>
      <c r="D14" s="2">
        <v>6</v>
      </c>
      <c r="E14" s="2">
        <v>32</v>
      </c>
      <c r="F14" s="2">
        <v>27</v>
      </c>
      <c r="G14" s="2">
        <v>24</v>
      </c>
      <c r="H14" s="2">
        <v>1</v>
      </c>
      <c r="I14" s="2">
        <v>0</v>
      </c>
      <c r="J14" s="2">
        <v>34</v>
      </c>
      <c r="K14" s="2">
        <v>0</v>
      </c>
    </row>
    <row r="15" spans="1:11">
      <c r="A15" s="2">
        <v>138</v>
      </c>
      <c r="B15">
        <v>10670</v>
      </c>
      <c r="C15" s="2">
        <v>104</v>
      </c>
      <c r="D15" s="2">
        <v>4</v>
      </c>
      <c r="E15" s="2">
        <v>24</v>
      </c>
      <c r="F15" s="2">
        <v>7</v>
      </c>
      <c r="G15" s="2">
        <v>20</v>
      </c>
      <c r="H15" s="2">
        <v>6</v>
      </c>
      <c r="I15" s="2">
        <v>0</v>
      </c>
      <c r="J15" s="2">
        <v>35</v>
      </c>
      <c r="K15" s="2">
        <v>0</v>
      </c>
    </row>
    <row r="16" spans="1:11">
      <c r="A16" s="2">
        <v>142</v>
      </c>
      <c r="B16">
        <v>10804</v>
      </c>
      <c r="C16" s="2">
        <v>80</v>
      </c>
      <c r="D16" s="2">
        <v>2</v>
      </c>
      <c r="E16" s="2">
        <v>9</v>
      </c>
      <c r="F16" s="2">
        <v>10</v>
      </c>
      <c r="G16" s="2">
        <v>5</v>
      </c>
      <c r="H16" s="2">
        <v>27</v>
      </c>
      <c r="I16" s="2">
        <v>0</v>
      </c>
      <c r="J16" s="2">
        <v>67</v>
      </c>
      <c r="K16" s="2">
        <v>0</v>
      </c>
    </row>
    <row r="17" spans="1:11">
      <c r="A17" s="2">
        <v>150</v>
      </c>
      <c r="B17">
        <v>11147</v>
      </c>
      <c r="C17" s="2">
        <v>42</v>
      </c>
      <c r="D17" s="2">
        <v>18</v>
      </c>
      <c r="E17" s="2">
        <v>13</v>
      </c>
      <c r="F17" s="2">
        <v>26</v>
      </c>
      <c r="G17" s="2">
        <v>21</v>
      </c>
      <c r="H17" s="2">
        <v>26</v>
      </c>
      <c r="I17" s="2">
        <v>0</v>
      </c>
      <c r="J17" s="2">
        <v>51</v>
      </c>
      <c r="K17" s="2">
        <v>3</v>
      </c>
    </row>
    <row r="18" spans="1:11">
      <c r="A18" s="2">
        <v>158</v>
      </c>
      <c r="B18">
        <v>11923</v>
      </c>
      <c r="C18" s="2">
        <v>68</v>
      </c>
      <c r="D18" s="2">
        <v>21</v>
      </c>
      <c r="E18" s="2">
        <v>10</v>
      </c>
      <c r="F18" s="2">
        <v>38</v>
      </c>
      <c r="G18" s="2">
        <v>24</v>
      </c>
      <c r="H18" s="2">
        <v>4</v>
      </c>
      <c r="I18" s="2">
        <v>0</v>
      </c>
      <c r="J18" s="2">
        <v>32</v>
      </c>
      <c r="K18" s="2">
        <v>3</v>
      </c>
    </row>
    <row r="19" spans="1:11">
      <c r="A19" s="2">
        <v>162</v>
      </c>
      <c r="B19">
        <v>12291</v>
      </c>
      <c r="C19" s="2">
        <v>63</v>
      </c>
      <c r="D19" s="2">
        <v>34</v>
      </c>
      <c r="E19" s="2">
        <v>17</v>
      </c>
      <c r="F19" s="2">
        <v>36</v>
      </c>
      <c r="G19" s="2">
        <v>27</v>
      </c>
      <c r="H19" s="2">
        <v>2</v>
      </c>
      <c r="I19" s="2">
        <v>0</v>
      </c>
      <c r="J19" s="2">
        <v>18</v>
      </c>
      <c r="K19" s="2">
        <v>3</v>
      </c>
    </row>
    <row r="20" spans="1:11">
      <c r="A20" s="2">
        <v>170</v>
      </c>
      <c r="B20">
        <v>12555</v>
      </c>
      <c r="C20" s="2">
        <v>159</v>
      </c>
      <c r="D20" s="2">
        <v>5</v>
      </c>
      <c r="E20" s="2">
        <v>13</v>
      </c>
      <c r="F20" s="2">
        <v>6</v>
      </c>
      <c r="G20" s="2">
        <v>5</v>
      </c>
      <c r="H20" s="2">
        <v>0</v>
      </c>
      <c r="I20" s="2">
        <v>0</v>
      </c>
      <c r="J20" s="2">
        <v>12</v>
      </c>
      <c r="K20" s="2">
        <v>0</v>
      </c>
    </row>
    <row r="21" spans="1:11">
      <c r="A21" s="2">
        <v>178</v>
      </c>
      <c r="B21">
        <v>12703</v>
      </c>
      <c r="C21" s="2">
        <v>148</v>
      </c>
      <c r="D21" s="2">
        <v>6</v>
      </c>
      <c r="E21" s="2">
        <v>8</v>
      </c>
      <c r="F21" s="2">
        <v>16</v>
      </c>
      <c r="G21" s="2">
        <v>10</v>
      </c>
      <c r="H21" s="2">
        <v>0</v>
      </c>
      <c r="I21" s="2">
        <v>0</v>
      </c>
      <c r="J21" s="2">
        <v>12</v>
      </c>
      <c r="K21" s="2">
        <v>0</v>
      </c>
    </row>
    <row r="22" spans="1:11">
      <c r="A22" s="2">
        <v>202</v>
      </c>
      <c r="B22">
        <v>13275</v>
      </c>
      <c r="C22" s="2">
        <v>73</v>
      </c>
      <c r="D22" s="2">
        <v>25</v>
      </c>
      <c r="E22" s="2">
        <v>3</v>
      </c>
      <c r="F22" s="2">
        <v>36</v>
      </c>
      <c r="G22" s="2">
        <v>21</v>
      </c>
      <c r="H22" s="2">
        <v>0</v>
      </c>
      <c r="I22" s="2">
        <v>34</v>
      </c>
      <c r="J22" s="2">
        <v>8</v>
      </c>
      <c r="K22" s="2">
        <v>0</v>
      </c>
    </row>
    <row r="23" spans="1:11">
      <c r="A23" s="2">
        <v>230</v>
      </c>
      <c r="B23">
        <v>16090</v>
      </c>
      <c r="C23" s="2">
        <v>29</v>
      </c>
      <c r="D23" s="2">
        <v>29</v>
      </c>
      <c r="E23" s="2">
        <v>2</v>
      </c>
      <c r="F23" s="2">
        <v>56</v>
      </c>
      <c r="G23" s="2">
        <v>32</v>
      </c>
      <c r="H23" s="2">
        <v>24</v>
      </c>
      <c r="I23" s="2">
        <v>1</v>
      </c>
      <c r="J23" s="2">
        <v>3</v>
      </c>
      <c r="K23" s="2">
        <v>0</v>
      </c>
    </row>
    <row r="24" spans="1:11">
      <c r="A24" s="2">
        <v>254</v>
      </c>
      <c r="B24">
        <v>19397</v>
      </c>
      <c r="C24" s="2">
        <v>54</v>
      </c>
      <c r="D24" s="2">
        <v>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</row>
    <row r="25" spans="1:11">
      <c r="A25" s="2">
        <v>266</v>
      </c>
      <c r="B25">
        <v>19971</v>
      </c>
      <c r="C25" s="2">
        <v>123</v>
      </c>
      <c r="D25" s="2">
        <v>4</v>
      </c>
      <c r="E25" s="2">
        <v>2</v>
      </c>
      <c r="F25" s="2">
        <v>6</v>
      </c>
      <c r="G25" s="2">
        <v>3</v>
      </c>
      <c r="H25" s="2">
        <v>0</v>
      </c>
      <c r="I25" s="2">
        <v>0</v>
      </c>
      <c r="J25" s="2">
        <v>1</v>
      </c>
      <c r="K2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abSelected="1" workbookViewId="0">
      <selection activeCell="F51" sqref="F51"/>
    </sheetView>
  </sheetViews>
  <sheetFormatPr baseColWidth="10" defaultRowHeight="15"/>
  <sheetData>
    <row r="1" spans="1:27">
      <c r="A1" s="3" t="s">
        <v>12</v>
      </c>
      <c r="B1" s="3"/>
      <c r="C1" s="3"/>
      <c r="D1" s="4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5" t="s">
        <v>35</v>
      </c>
      <c r="AA1" s="5" t="s">
        <v>36</v>
      </c>
    </row>
    <row r="2" spans="1:27">
      <c r="A2" s="6" t="s">
        <v>37</v>
      </c>
      <c r="B2" s="7"/>
      <c r="C2" s="8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</row>
    <row r="3" spans="1:27">
      <c r="A3" s="10"/>
      <c r="B3" s="11" t="s">
        <v>2</v>
      </c>
      <c r="C3" s="12" t="s">
        <v>63</v>
      </c>
      <c r="D3" s="13">
        <v>29</v>
      </c>
      <c r="E3" s="12">
        <v>32</v>
      </c>
      <c r="F3" s="12"/>
      <c r="G3" s="12"/>
      <c r="H3" s="12">
        <v>4</v>
      </c>
      <c r="I3" s="12">
        <v>7</v>
      </c>
      <c r="J3" s="12">
        <v>7</v>
      </c>
      <c r="K3" s="12">
        <v>9</v>
      </c>
      <c r="L3" s="12">
        <v>12</v>
      </c>
      <c r="M3" s="12">
        <v>8</v>
      </c>
      <c r="N3" s="12">
        <v>4</v>
      </c>
      <c r="O3" s="12">
        <v>3</v>
      </c>
      <c r="P3" s="12">
        <v>4</v>
      </c>
      <c r="Q3" s="12">
        <v>3</v>
      </c>
      <c r="R3" s="12">
        <v>2</v>
      </c>
      <c r="S3" s="12">
        <v>2</v>
      </c>
      <c r="T3" s="12">
        <v>1</v>
      </c>
      <c r="U3" s="12">
        <v>1</v>
      </c>
      <c r="V3" s="12"/>
      <c r="W3" s="12"/>
      <c r="X3" s="12">
        <v>1</v>
      </c>
      <c r="Y3" s="12"/>
      <c r="Z3" s="12">
        <v>1</v>
      </c>
      <c r="AA3" s="12"/>
    </row>
    <row r="4" spans="1:27">
      <c r="A4" s="14" t="s">
        <v>64</v>
      </c>
      <c r="B4" s="11" t="s">
        <v>2</v>
      </c>
      <c r="C4" s="12" t="s">
        <v>65</v>
      </c>
      <c r="D4" s="5">
        <v>12</v>
      </c>
      <c r="E4" s="5">
        <v>9</v>
      </c>
      <c r="F4" s="5">
        <v>12</v>
      </c>
      <c r="G4" s="5">
        <v>5</v>
      </c>
      <c r="H4" s="5">
        <v>6</v>
      </c>
      <c r="I4" s="5">
        <v>3</v>
      </c>
      <c r="J4" s="5">
        <v>7</v>
      </c>
      <c r="K4" s="5">
        <v>8</v>
      </c>
      <c r="L4" s="5">
        <v>10</v>
      </c>
      <c r="M4" s="5">
        <v>10</v>
      </c>
      <c r="N4" s="5">
        <v>6</v>
      </c>
      <c r="O4" s="5">
        <v>7</v>
      </c>
      <c r="P4" s="5">
        <v>9</v>
      </c>
      <c r="Q4" s="5">
        <v>5</v>
      </c>
      <c r="R4" s="5">
        <v>2</v>
      </c>
      <c r="S4" s="5">
        <v>3</v>
      </c>
      <c r="T4" s="5">
        <v>1</v>
      </c>
      <c r="U4" s="5">
        <v>2</v>
      </c>
      <c r="V4" s="5">
        <v>8</v>
      </c>
      <c r="W4" s="5">
        <v>3</v>
      </c>
      <c r="X4" s="5">
        <v>2</v>
      </c>
      <c r="Y4" s="5"/>
      <c r="Z4" s="5">
        <v>2</v>
      </c>
      <c r="AA4" s="5">
        <v>1</v>
      </c>
    </row>
    <row r="5" spans="1:27">
      <c r="A5" s="14"/>
      <c r="B5" s="11" t="s">
        <v>2</v>
      </c>
      <c r="C5" s="8" t="s">
        <v>66</v>
      </c>
      <c r="D5" s="5">
        <v>12</v>
      </c>
      <c r="E5" s="5">
        <v>15</v>
      </c>
      <c r="F5" s="5">
        <v>22</v>
      </c>
      <c r="G5" s="5">
        <v>13</v>
      </c>
      <c r="H5" s="5">
        <v>8</v>
      </c>
      <c r="I5" s="5">
        <v>19</v>
      </c>
      <c r="J5" s="5">
        <v>9</v>
      </c>
      <c r="K5" s="5">
        <v>6</v>
      </c>
      <c r="L5" s="5">
        <v>9</v>
      </c>
      <c r="M5" s="5">
        <v>4</v>
      </c>
      <c r="N5" s="5">
        <v>6</v>
      </c>
      <c r="O5" s="5">
        <v>4</v>
      </c>
      <c r="P5" s="5">
        <v>16</v>
      </c>
      <c r="Q5" s="5">
        <v>6</v>
      </c>
      <c r="R5" s="5">
        <v>5</v>
      </c>
      <c r="S5" s="5">
        <v>5</v>
      </c>
      <c r="T5" s="5">
        <v>4</v>
      </c>
      <c r="U5" s="5">
        <v>7</v>
      </c>
      <c r="V5" s="5">
        <v>10</v>
      </c>
      <c r="W5" s="5">
        <v>9</v>
      </c>
      <c r="X5" s="5">
        <v>5</v>
      </c>
      <c r="Y5" s="5"/>
      <c r="Z5" s="5">
        <v>5</v>
      </c>
      <c r="AA5" s="5">
        <v>7</v>
      </c>
    </row>
    <row r="6" spans="1:27">
      <c r="A6" s="15"/>
      <c r="B6" s="11" t="s">
        <v>2</v>
      </c>
      <c r="C6" s="8" t="s">
        <v>67</v>
      </c>
      <c r="D6" s="5">
        <v>11</v>
      </c>
      <c r="E6" s="5">
        <v>15</v>
      </c>
      <c r="F6" s="5">
        <v>26</v>
      </c>
      <c r="G6" s="5">
        <v>16</v>
      </c>
      <c r="H6" s="5">
        <v>22</v>
      </c>
      <c r="I6" s="5">
        <v>39</v>
      </c>
      <c r="J6" s="5">
        <v>19</v>
      </c>
      <c r="K6" s="5">
        <v>13</v>
      </c>
      <c r="L6" s="5">
        <v>12</v>
      </c>
      <c r="M6" s="5">
        <v>24</v>
      </c>
      <c r="N6" s="5">
        <v>21</v>
      </c>
      <c r="O6" s="5">
        <v>16</v>
      </c>
      <c r="P6" s="5">
        <v>9</v>
      </c>
      <c r="Q6" s="5">
        <v>36</v>
      </c>
      <c r="R6" s="5">
        <v>26</v>
      </c>
      <c r="S6" s="5">
        <v>7</v>
      </c>
      <c r="T6" s="5">
        <v>10</v>
      </c>
      <c r="U6" s="5">
        <v>19</v>
      </c>
      <c r="V6" s="5">
        <v>60</v>
      </c>
      <c r="W6" s="5">
        <v>65</v>
      </c>
      <c r="X6" s="5">
        <v>13</v>
      </c>
      <c r="Y6" s="5">
        <v>3</v>
      </c>
      <c r="Z6" s="5">
        <v>21</v>
      </c>
      <c r="AA6" s="5">
        <v>72</v>
      </c>
    </row>
    <row r="7" spans="1:27">
      <c r="A7" s="16" t="s">
        <v>68</v>
      </c>
      <c r="B7" s="17" t="s">
        <v>5</v>
      </c>
      <c r="C7" s="8" t="s">
        <v>69</v>
      </c>
      <c r="D7" s="5">
        <v>5</v>
      </c>
      <c r="E7" s="5">
        <v>8</v>
      </c>
      <c r="F7" s="5">
        <v>3</v>
      </c>
      <c r="G7" s="5">
        <v>5</v>
      </c>
      <c r="H7" s="5">
        <v>7</v>
      </c>
      <c r="I7" s="5">
        <v>10</v>
      </c>
      <c r="J7" s="5">
        <v>7</v>
      </c>
      <c r="K7" s="5">
        <v>15</v>
      </c>
      <c r="L7" s="5">
        <v>14</v>
      </c>
      <c r="M7" s="5">
        <v>12</v>
      </c>
      <c r="N7" s="5">
        <v>14</v>
      </c>
      <c r="O7" s="5">
        <v>20</v>
      </c>
      <c r="P7" s="5">
        <v>22</v>
      </c>
      <c r="Q7" s="5">
        <v>7</v>
      </c>
      <c r="R7" s="5">
        <v>6</v>
      </c>
      <c r="S7" s="5">
        <v>16</v>
      </c>
      <c r="T7" s="5">
        <v>28</v>
      </c>
      <c r="U7" s="5">
        <v>32</v>
      </c>
      <c r="V7" s="5"/>
      <c r="W7" s="5">
        <v>12</v>
      </c>
      <c r="X7" s="5">
        <v>31</v>
      </c>
      <c r="Y7" s="5">
        <v>49</v>
      </c>
      <c r="Z7" s="5">
        <v>1</v>
      </c>
      <c r="AA7" s="5">
        <v>2</v>
      </c>
    </row>
    <row r="8" spans="1:27">
      <c r="A8" s="18"/>
      <c r="B8" s="17" t="s">
        <v>5</v>
      </c>
      <c r="C8" s="8" t="s">
        <v>70</v>
      </c>
      <c r="D8" s="5">
        <v>2</v>
      </c>
      <c r="E8" s="5"/>
      <c r="F8" s="5"/>
      <c r="G8" s="5"/>
      <c r="H8" s="5">
        <v>1</v>
      </c>
      <c r="I8" s="5">
        <v>6</v>
      </c>
      <c r="J8" s="5">
        <v>4</v>
      </c>
      <c r="K8" s="5">
        <v>5</v>
      </c>
      <c r="L8" s="5">
        <v>2</v>
      </c>
      <c r="M8" s="5"/>
      <c r="N8" s="5"/>
      <c r="O8" s="5"/>
      <c r="P8" s="5">
        <v>3</v>
      </c>
      <c r="Q8" s="5"/>
      <c r="R8" s="5">
        <v>2</v>
      </c>
      <c r="S8" s="5">
        <v>7</v>
      </c>
      <c r="T8" s="5">
        <v>6</v>
      </c>
      <c r="U8" s="5">
        <v>2</v>
      </c>
      <c r="V8" s="5"/>
      <c r="W8" s="5"/>
      <c r="X8" s="5">
        <v>2</v>
      </c>
      <c r="Y8" s="5">
        <v>5</v>
      </c>
      <c r="Z8" s="5"/>
      <c r="AA8" s="5"/>
    </row>
    <row r="9" spans="1:27">
      <c r="A9" s="18"/>
      <c r="B9" s="11" t="s">
        <v>2</v>
      </c>
      <c r="C9" s="8" t="s">
        <v>71</v>
      </c>
      <c r="D9" s="5">
        <v>7</v>
      </c>
      <c r="E9" s="5">
        <v>15</v>
      </c>
      <c r="F9" s="5">
        <v>13</v>
      </c>
      <c r="G9" s="5"/>
      <c r="H9" s="5">
        <v>4</v>
      </c>
      <c r="I9" s="5">
        <v>7</v>
      </c>
      <c r="J9" s="5">
        <v>11</v>
      </c>
      <c r="K9" s="5">
        <v>10</v>
      </c>
      <c r="L9" s="5">
        <v>17</v>
      </c>
      <c r="M9" s="5">
        <v>8</v>
      </c>
      <c r="N9" s="5">
        <v>4</v>
      </c>
      <c r="O9" s="5">
        <v>9</v>
      </c>
      <c r="P9" s="5">
        <v>6</v>
      </c>
      <c r="Q9" s="5">
        <v>9</v>
      </c>
      <c r="R9" s="5">
        <v>3</v>
      </c>
      <c r="S9" s="5">
        <v>7</v>
      </c>
      <c r="T9" s="5">
        <v>8</v>
      </c>
      <c r="U9" s="5">
        <v>13</v>
      </c>
      <c r="V9" s="5">
        <v>15</v>
      </c>
      <c r="W9" s="5">
        <v>7</v>
      </c>
      <c r="X9" s="5">
        <v>12</v>
      </c>
      <c r="Y9" s="5">
        <v>8</v>
      </c>
      <c r="Z9" s="5">
        <v>1</v>
      </c>
      <c r="AA9" s="5">
        <v>7</v>
      </c>
    </row>
    <row r="10" spans="1:27">
      <c r="A10" s="18"/>
      <c r="B10" s="11" t="s">
        <v>2</v>
      </c>
      <c r="C10" s="8" t="s">
        <v>72</v>
      </c>
      <c r="D10" s="5">
        <v>9</v>
      </c>
      <c r="E10" s="5">
        <v>4</v>
      </c>
      <c r="F10" s="5"/>
      <c r="G10" s="5"/>
      <c r="H10" s="5"/>
      <c r="I10" s="5">
        <v>3</v>
      </c>
      <c r="J10" s="5"/>
      <c r="K10" s="5">
        <v>2</v>
      </c>
      <c r="L10" s="5">
        <v>6</v>
      </c>
      <c r="M10" s="5">
        <v>2</v>
      </c>
      <c r="N10" s="5">
        <v>2</v>
      </c>
      <c r="O10" s="5">
        <v>4</v>
      </c>
      <c r="P10" s="5">
        <v>8</v>
      </c>
      <c r="Q10" s="5">
        <v>3</v>
      </c>
      <c r="R10" s="5">
        <v>3</v>
      </c>
      <c r="S10" s="5">
        <v>4</v>
      </c>
      <c r="T10" s="5">
        <v>1</v>
      </c>
      <c r="U10" s="5">
        <v>5</v>
      </c>
      <c r="V10" s="5"/>
      <c r="W10" s="5">
        <v>2</v>
      </c>
      <c r="X10" s="5">
        <v>8</v>
      </c>
      <c r="Y10" s="5">
        <v>8</v>
      </c>
      <c r="Z10" s="5">
        <v>1</v>
      </c>
      <c r="AA10" s="5">
        <v>1</v>
      </c>
    </row>
    <row r="11" spans="1:27">
      <c r="A11" s="19" t="s">
        <v>73</v>
      </c>
      <c r="B11" s="20" t="s">
        <v>3</v>
      </c>
      <c r="C11" s="21" t="s">
        <v>74</v>
      </c>
      <c r="D11" s="5">
        <v>7</v>
      </c>
      <c r="E11" s="5">
        <v>18</v>
      </c>
      <c r="F11" s="5">
        <v>1</v>
      </c>
      <c r="G11" s="5">
        <v>5</v>
      </c>
      <c r="H11" s="5">
        <v>3</v>
      </c>
      <c r="I11" s="5">
        <v>3</v>
      </c>
      <c r="J11" s="5">
        <v>3</v>
      </c>
      <c r="K11" s="5">
        <v>15</v>
      </c>
      <c r="L11" s="5">
        <v>18</v>
      </c>
      <c r="M11" s="5">
        <v>13</v>
      </c>
      <c r="N11" s="5">
        <v>8</v>
      </c>
      <c r="O11" s="5">
        <v>23</v>
      </c>
      <c r="P11" s="5">
        <v>6</v>
      </c>
      <c r="Q11" s="5">
        <v>4</v>
      </c>
      <c r="R11" s="5">
        <v>2</v>
      </c>
      <c r="S11" s="5">
        <v>18</v>
      </c>
      <c r="T11" s="5">
        <v>21</v>
      </c>
      <c r="U11" s="5">
        <v>33</v>
      </c>
      <c r="V11" s="5">
        <v>5</v>
      </c>
      <c r="W11" s="5">
        <v>6</v>
      </c>
      <c r="X11" s="5">
        <v>25</v>
      </c>
      <c r="Y11" s="5">
        <v>29</v>
      </c>
      <c r="Z11" s="5">
        <v>1</v>
      </c>
      <c r="AA11" s="5">
        <v>4</v>
      </c>
    </row>
    <row r="12" spans="1:27">
      <c r="A12" s="22"/>
      <c r="B12" s="20" t="s">
        <v>3</v>
      </c>
      <c r="C12" s="21" t="s">
        <v>75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>
      <c r="A13" s="23"/>
      <c r="B13" s="17" t="s">
        <v>5</v>
      </c>
      <c r="C13" s="8" t="s">
        <v>76</v>
      </c>
      <c r="D13" s="5"/>
      <c r="E13" s="5"/>
      <c r="F13" s="5"/>
      <c r="G13" s="5"/>
      <c r="H13" s="5"/>
      <c r="I13" s="5"/>
      <c r="J13" s="5"/>
      <c r="K13" s="5"/>
      <c r="L13" s="5">
        <v>2</v>
      </c>
      <c r="M13" s="5"/>
      <c r="N13" s="5">
        <v>3</v>
      </c>
      <c r="O13" s="5"/>
      <c r="P13" s="5">
        <v>1</v>
      </c>
      <c r="Q13" s="5"/>
      <c r="R13" s="5"/>
      <c r="S13" s="5">
        <v>3</v>
      </c>
      <c r="T13" s="5"/>
      <c r="U13" s="5">
        <v>2</v>
      </c>
      <c r="V13" s="5"/>
      <c r="W13" s="5">
        <v>2</v>
      </c>
      <c r="X13" s="5">
        <v>2</v>
      </c>
      <c r="Y13" s="5">
        <v>2</v>
      </c>
      <c r="Z13" s="5"/>
      <c r="AA13" s="5">
        <v>1</v>
      </c>
    </row>
    <row r="14" spans="1:27">
      <c r="A14" s="10"/>
      <c r="B14" s="20" t="s">
        <v>3</v>
      </c>
      <c r="C14" s="8" t="s">
        <v>77</v>
      </c>
      <c r="D14" s="5">
        <v>4</v>
      </c>
      <c r="E14" s="5">
        <v>2</v>
      </c>
      <c r="F14" s="5"/>
      <c r="G14" s="5"/>
      <c r="H14" s="5">
        <v>2</v>
      </c>
      <c r="I14" s="5"/>
      <c r="J14" s="5"/>
      <c r="K14" s="5"/>
      <c r="L14" s="5">
        <v>4</v>
      </c>
      <c r="M14" s="5"/>
      <c r="N14" s="5"/>
      <c r="O14" s="5"/>
      <c r="P14" s="5"/>
      <c r="Q14" s="5"/>
      <c r="R14" s="5"/>
      <c r="S14" s="5"/>
      <c r="T14" s="5"/>
      <c r="U14" s="5">
        <v>1</v>
      </c>
      <c r="V14" s="5"/>
      <c r="W14" s="5"/>
      <c r="X14" s="5"/>
      <c r="Y14" s="5"/>
      <c r="Z14" s="5"/>
      <c r="AA14" s="5"/>
    </row>
    <row r="15" spans="1:27">
      <c r="A15" s="10"/>
      <c r="B15" s="24" t="s">
        <v>5</v>
      </c>
      <c r="C15" s="8" t="s">
        <v>78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</v>
      </c>
      <c r="U15" s="5"/>
      <c r="V15" s="5">
        <v>6</v>
      </c>
      <c r="W15" s="5">
        <v>2</v>
      </c>
      <c r="X15" s="5"/>
      <c r="Y15" s="5"/>
      <c r="Z15" s="5"/>
      <c r="AA15" s="5">
        <v>3</v>
      </c>
    </row>
    <row r="16" spans="1:27">
      <c r="A16" s="25"/>
      <c r="B16" s="11" t="s">
        <v>2</v>
      </c>
      <c r="C16" s="8" t="s">
        <v>79</v>
      </c>
      <c r="D16" s="5">
        <v>26</v>
      </c>
      <c r="E16" s="5">
        <v>15</v>
      </c>
      <c r="F16" s="5">
        <v>32</v>
      </c>
      <c r="G16" s="5">
        <v>48</v>
      </c>
      <c r="H16" s="5">
        <v>23</v>
      </c>
      <c r="I16" s="5">
        <v>19</v>
      </c>
      <c r="J16" s="5">
        <v>56</v>
      </c>
      <c r="K16" s="5">
        <v>25</v>
      </c>
      <c r="L16" s="5">
        <v>17</v>
      </c>
      <c r="M16" s="5">
        <v>19</v>
      </c>
      <c r="N16" s="5">
        <v>13</v>
      </c>
      <c r="O16" s="5">
        <v>14</v>
      </c>
      <c r="P16" s="5">
        <v>24</v>
      </c>
      <c r="Q16" s="5">
        <v>42</v>
      </c>
      <c r="R16" s="5">
        <v>39</v>
      </c>
      <c r="S16" s="5">
        <v>14</v>
      </c>
      <c r="T16" s="5">
        <v>43</v>
      </c>
      <c r="U16" s="5">
        <v>16</v>
      </c>
      <c r="V16" s="5">
        <v>66</v>
      </c>
      <c r="W16" s="5">
        <v>62</v>
      </c>
      <c r="X16" s="5">
        <v>32</v>
      </c>
      <c r="Y16" s="5">
        <v>10</v>
      </c>
      <c r="Z16" s="5">
        <v>23</v>
      </c>
      <c r="AA16" s="5">
        <v>35</v>
      </c>
    </row>
    <row r="17" spans="1:27">
      <c r="A17" s="16"/>
      <c r="B17" s="26" t="s">
        <v>6</v>
      </c>
      <c r="C17" s="8" t="s">
        <v>80</v>
      </c>
      <c r="D17" s="5"/>
      <c r="E17" s="5">
        <v>6</v>
      </c>
      <c r="F17" s="5">
        <v>3</v>
      </c>
      <c r="G17" s="5">
        <v>11</v>
      </c>
      <c r="H17" s="5">
        <v>2</v>
      </c>
      <c r="I17" s="5"/>
      <c r="J17" s="5">
        <v>4</v>
      </c>
      <c r="K17" s="5">
        <v>3</v>
      </c>
      <c r="L17" s="5">
        <v>2</v>
      </c>
      <c r="M17" s="5">
        <v>21</v>
      </c>
      <c r="N17" s="5">
        <v>8</v>
      </c>
      <c r="O17" s="5">
        <v>7</v>
      </c>
      <c r="P17" s="5">
        <v>12</v>
      </c>
      <c r="Q17" s="5">
        <v>12</v>
      </c>
      <c r="R17" s="5">
        <v>5</v>
      </c>
      <c r="S17" s="5">
        <v>6</v>
      </c>
      <c r="T17" s="5">
        <v>9</v>
      </c>
      <c r="U17" s="5">
        <v>13</v>
      </c>
      <c r="V17" s="5"/>
      <c r="W17" s="5">
        <v>4</v>
      </c>
      <c r="X17" s="5">
        <v>7</v>
      </c>
      <c r="Y17" s="5">
        <v>12</v>
      </c>
      <c r="Z17" s="5">
        <v>1</v>
      </c>
      <c r="AA17" s="5">
        <v>3</v>
      </c>
    </row>
    <row r="18" spans="1:27">
      <c r="A18" s="18"/>
      <c r="B18" s="24" t="s">
        <v>5</v>
      </c>
      <c r="C18" s="8" t="s">
        <v>81</v>
      </c>
      <c r="D18" s="5">
        <v>1</v>
      </c>
      <c r="E18" s="5"/>
      <c r="F18" s="5"/>
      <c r="G18" s="5"/>
      <c r="H18" s="5"/>
      <c r="I18" s="5"/>
      <c r="J18" s="5">
        <v>1</v>
      </c>
      <c r="K18" s="5">
        <v>1</v>
      </c>
      <c r="L18" s="5"/>
      <c r="M18" s="5"/>
      <c r="N18" s="5"/>
      <c r="O18" s="5"/>
      <c r="P18" s="5"/>
      <c r="Q18" s="5"/>
      <c r="R18" s="5"/>
      <c r="S18" s="5"/>
      <c r="T18" s="5">
        <v>3</v>
      </c>
      <c r="U18" s="5"/>
      <c r="V18" s="5"/>
      <c r="W18" s="5"/>
      <c r="X18" s="5"/>
      <c r="Y18" s="5"/>
      <c r="Z18" s="5"/>
      <c r="AA18" s="5"/>
    </row>
    <row r="19" spans="1:27">
      <c r="A19" s="27"/>
      <c r="B19" s="26" t="s">
        <v>6</v>
      </c>
      <c r="C19" s="8" t="s">
        <v>82</v>
      </c>
      <c r="D19" s="5">
        <v>6</v>
      </c>
      <c r="E19" s="5"/>
      <c r="F19" s="5">
        <v>1</v>
      </c>
      <c r="G19" s="5"/>
      <c r="H19" s="5">
        <v>4</v>
      </c>
      <c r="I19" s="5">
        <v>2</v>
      </c>
      <c r="J19" s="5"/>
      <c r="K19" s="5">
        <v>5</v>
      </c>
      <c r="L19" s="5">
        <v>8</v>
      </c>
      <c r="M19" s="5">
        <v>10</v>
      </c>
      <c r="N19" s="5">
        <v>6</v>
      </c>
      <c r="O19" s="5">
        <v>7</v>
      </c>
      <c r="P19" s="5">
        <v>12</v>
      </c>
      <c r="Q19" s="5">
        <v>8</v>
      </c>
      <c r="R19" s="5"/>
      <c r="S19" s="5">
        <v>15</v>
      </c>
      <c r="T19" s="5">
        <v>15</v>
      </c>
      <c r="U19" s="5">
        <v>14</v>
      </c>
      <c r="V19" s="5">
        <v>5</v>
      </c>
      <c r="W19" s="5">
        <v>6</v>
      </c>
      <c r="X19" s="5">
        <v>14</v>
      </c>
      <c r="Y19" s="5">
        <v>20</v>
      </c>
      <c r="Z19" s="5"/>
      <c r="AA19" s="5"/>
    </row>
    <row r="20" spans="1:27">
      <c r="A20" s="16" t="s">
        <v>83</v>
      </c>
      <c r="B20" s="28" t="s">
        <v>7</v>
      </c>
      <c r="C20" s="8" t="s">
        <v>84</v>
      </c>
      <c r="D20" s="5">
        <v>1</v>
      </c>
      <c r="E20" s="5">
        <v>2</v>
      </c>
      <c r="F20" s="5">
        <v>1</v>
      </c>
      <c r="G20" s="5"/>
      <c r="H20" s="5">
        <v>1</v>
      </c>
      <c r="I20" s="5"/>
      <c r="J20" s="5"/>
      <c r="K20" s="5"/>
      <c r="L20" s="5">
        <v>2</v>
      </c>
      <c r="M20" s="5"/>
      <c r="N20" s="5">
        <v>1</v>
      </c>
      <c r="O20" s="5"/>
      <c r="P20" s="5"/>
      <c r="Q20" s="5"/>
      <c r="R20" s="5"/>
      <c r="S20" s="5"/>
      <c r="T20" s="5">
        <v>1</v>
      </c>
      <c r="U20" s="5"/>
      <c r="V20" s="5"/>
      <c r="W20" s="5"/>
      <c r="X20" s="5"/>
      <c r="Y20" s="5"/>
      <c r="Z20" s="5"/>
      <c r="AA20" s="5"/>
    </row>
    <row r="21" spans="1:27" ht="77.25">
      <c r="A21" s="18"/>
      <c r="B21" s="28" t="s">
        <v>7</v>
      </c>
      <c r="C21" s="29" t="s">
        <v>85</v>
      </c>
      <c r="D21" s="5">
        <v>3</v>
      </c>
      <c r="E21" s="5">
        <v>2</v>
      </c>
      <c r="F21" s="5"/>
      <c r="G21" s="5"/>
      <c r="H21" s="5"/>
      <c r="I21" s="5"/>
      <c r="J21" s="5"/>
      <c r="K21" s="5"/>
      <c r="L21" s="5"/>
      <c r="M21" s="5">
        <v>2</v>
      </c>
      <c r="N21" s="5"/>
      <c r="O21" s="5">
        <v>7</v>
      </c>
      <c r="P21" s="5">
        <v>1</v>
      </c>
      <c r="Q21" s="5">
        <v>6</v>
      </c>
      <c r="R21" s="5">
        <v>27</v>
      </c>
      <c r="S21" s="5">
        <v>26</v>
      </c>
      <c r="T21" s="5">
        <v>3</v>
      </c>
      <c r="U21" s="5">
        <v>2</v>
      </c>
      <c r="V21" s="5"/>
      <c r="W21" s="5"/>
      <c r="X21" s="5"/>
      <c r="Y21" s="5">
        <v>24</v>
      </c>
      <c r="Z21" s="5"/>
      <c r="AA21" s="5"/>
    </row>
    <row r="22" spans="1:27">
      <c r="A22" s="27"/>
      <c r="B22" s="28" t="s">
        <v>7</v>
      </c>
      <c r="C22" s="8" t="s">
        <v>86</v>
      </c>
      <c r="D22" s="5"/>
      <c r="E22" s="5"/>
      <c r="F22" s="5"/>
      <c r="G22" s="5"/>
      <c r="H22" s="5"/>
      <c r="I22" s="5"/>
      <c r="J22" s="5"/>
      <c r="K22" s="5"/>
      <c r="L22" s="5">
        <v>2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30"/>
      <c r="B23" s="20" t="s">
        <v>3</v>
      </c>
      <c r="C23" s="8" t="s">
        <v>87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14"/>
      <c r="B24" s="17" t="s">
        <v>5</v>
      </c>
      <c r="C24" s="8" t="s">
        <v>88</v>
      </c>
      <c r="D24" s="5"/>
      <c r="E24" s="5"/>
      <c r="F24" s="5"/>
      <c r="G24" s="5"/>
      <c r="H24" s="5"/>
      <c r="I24" s="5"/>
      <c r="J24" s="5"/>
      <c r="K24" s="5"/>
      <c r="L24" s="5"/>
      <c r="M24" s="5">
        <v>2</v>
      </c>
      <c r="N24" s="5"/>
      <c r="O24" s="5">
        <v>4</v>
      </c>
      <c r="P24" s="5">
        <v>1</v>
      </c>
      <c r="Q24" s="5"/>
      <c r="R24" s="5">
        <v>2</v>
      </c>
      <c r="S24" s="5"/>
      <c r="T24" s="5"/>
      <c r="U24" s="5"/>
      <c r="V24" s="5"/>
      <c r="W24" s="5"/>
      <c r="X24" s="5">
        <v>1</v>
      </c>
      <c r="Y24" s="5"/>
      <c r="Z24" s="5"/>
      <c r="AA24" s="5"/>
    </row>
    <row r="25" spans="1:27">
      <c r="A25" s="14"/>
      <c r="B25" s="20" t="s">
        <v>3</v>
      </c>
      <c r="C25" s="8" t="s">
        <v>89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15"/>
      <c r="B26" s="20" t="s">
        <v>3</v>
      </c>
      <c r="C26" s="8" t="s">
        <v>90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16"/>
      <c r="B27" s="31" t="s">
        <v>91</v>
      </c>
      <c r="C27" s="8" t="s">
        <v>92</v>
      </c>
      <c r="D27" s="5"/>
      <c r="E27" s="5"/>
      <c r="F27" s="5">
        <v>1</v>
      </c>
      <c r="G27" s="5"/>
      <c r="H27" s="5">
        <v>2</v>
      </c>
      <c r="I27" s="5">
        <v>3</v>
      </c>
      <c r="J27" s="5">
        <v>3</v>
      </c>
      <c r="K27" s="5">
        <v>2</v>
      </c>
      <c r="L27" s="5">
        <v>6</v>
      </c>
      <c r="M27" s="5"/>
      <c r="N27" s="5"/>
      <c r="O27" s="5"/>
      <c r="P27" s="5"/>
      <c r="Q27" s="5"/>
      <c r="R27" s="5"/>
      <c r="S27" s="5"/>
      <c r="T27" s="5">
        <v>3</v>
      </c>
      <c r="U27" s="5">
        <v>4</v>
      </c>
      <c r="V27" s="5"/>
      <c r="W27" s="5"/>
      <c r="X27" s="5">
        <v>3</v>
      </c>
      <c r="Y27" s="5">
        <v>2</v>
      </c>
      <c r="Z27" s="5"/>
      <c r="AA27" s="5"/>
    </row>
    <row r="28" spans="1:27">
      <c r="A28" s="18"/>
      <c r="B28" s="31" t="s">
        <v>91</v>
      </c>
      <c r="C28" s="8" t="s">
        <v>93</v>
      </c>
      <c r="D28" s="5"/>
      <c r="E28" s="5"/>
      <c r="F28" s="5">
        <v>1</v>
      </c>
      <c r="G28" s="5"/>
      <c r="H28" s="5">
        <v>2</v>
      </c>
      <c r="I28" s="5">
        <v>1</v>
      </c>
      <c r="J28" s="5"/>
      <c r="K28" s="5"/>
      <c r="L28" s="5"/>
      <c r="M28" s="5">
        <v>2</v>
      </c>
      <c r="N28" s="5">
        <v>1</v>
      </c>
      <c r="O28" s="5"/>
      <c r="P28" s="5"/>
      <c r="Q28" s="5"/>
      <c r="R28" s="5"/>
      <c r="S28" s="5"/>
      <c r="T28" s="5"/>
      <c r="U28" s="5"/>
      <c r="V28" s="5"/>
      <c r="W28" s="5"/>
      <c r="X28" s="5">
        <v>1</v>
      </c>
      <c r="Y28" s="5">
        <v>1</v>
      </c>
      <c r="Z28" s="5"/>
      <c r="AA28" s="5"/>
    </row>
    <row r="29" spans="1:27">
      <c r="A29" s="18"/>
      <c r="B29" s="32" t="s">
        <v>10</v>
      </c>
      <c r="C29" s="8" t="s">
        <v>94</v>
      </c>
      <c r="D29" s="5"/>
      <c r="E29" s="5"/>
      <c r="F29" s="5"/>
      <c r="G29" s="5"/>
      <c r="H29" s="5">
        <v>3</v>
      </c>
      <c r="I29" s="5">
        <v>3</v>
      </c>
      <c r="J29" s="5">
        <v>1</v>
      </c>
      <c r="K29" s="5"/>
      <c r="L29" s="5">
        <v>6</v>
      </c>
      <c r="M29" s="5">
        <v>1</v>
      </c>
      <c r="N29" s="5">
        <v>3</v>
      </c>
      <c r="O29" s="5">
        <v>2</v>
      </c>
      <c r="P29" s="5"/>
      <c r="Q29" s="5"/>
      <c r="R29" s="5"/>
      <c r="S29" s="5">
        <v>3</v>
      </c>
      <c r="T29" s="5">
        <v>3</v>
      </c>
      <c r="U29" s="5">
        <v>3</v>
      </c>
      <c r="V29" s="5"/>
      <c r="W29" s="5"/>
      <c r="X29" s="5"/>
      <c r="Y29" s="5"/>
      <c r="Z29" s="5"/>
      <c r="AA29" s="5"/>
    </row>
    <row r="30" spans="1:27">
      <c r="A30" s="27"/>
      <c r="B30" s="31" t="s">
        <v>91</v>
      </c>
      <c r="C30" s="8" t="s">
        <v>95</v>
      </c>
      <c r="D30" s="5"/>
      <c r="E30" s="5"/>
      <c r="F30" s="5"/>
      <c r="G30" s="5"/>
      <c r="H30" s="5">
        <v>1</v>
      </c>
      <c r="I30" s="5">
        <v>1</v>
      </c>
      <c r="J30" s="5"/>
      <c r="K30" s="5"/>
      <c r="L30" s="5">
        <v>1</v>
      </c>
      <c r="M30" s="5"/>
      <c r="N30" s="5">
        <v>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10" t="s">
        <v>8</v>
      </c>
      <c r="B31" s="33" t="s">
        <v>8</v>
      </c>
      <c r="C31" s="8" t="s">
        <v>96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>
        <v>34</v>
      </c>
      <c r="Y31" s="5">
        <v>1</v>
      </c>
      <c r="Z31" s="5"/>
      <c r="AA31" s="5"/>
    </row>
    <row r="32" spans="1:27">
      <c r="A32" s="16"/>
      <c r="B32" s="31" t="s">
        <v>91</v>
      </c>
      <c r="C32" s="8" t="s">
        <v>97</v>
      </c>
      <c r="D32" s="5">
        <v>4</v>
      </c>
      <c r="E32" s="5"/>
      <c r="F32" s="5">
        <v>1</v>
      </c>
      <c r="G32" s="5"/>
      <c r="H32" s="5"/>
      <c r="I32" s="5"/>
      <c r="J32" s="5"/>
      <c r="K32" s="5"/>
      <c r="L32" s="5">
        <v>2</v>
      </c>
      <c r="M32" s="5"/>
      <c r="N32" s="5">
        <v>2</v>
      </c>
      <c r="O32" s="5"/>
      <c r="P32" s="5"/>
      <c r="Q32" s="5">
        <v>1</v>
      </c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18"/>
      <c r="B33" s="31" t="s">
        <v>91</v>
      </c>
      <c r="C33" s="8" t="s">
        <v>98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27"/>
      <c r="B34" s="31" t="s">
        <v>91</v>
      </c>
      <c r="C34" s="8" t="s">
        <v>99</v>
      </c>
      <c r="D34" s="5">
        <v>51</v>
      </c>
      <c r="E34" s="5">
        <v>13</v>
      </c>
      <c r="F34" s="5">
        <v>60</v>
      </c>
      <c r="G34" s="5">
        <v>73</v>
      </c>
      <c r="H34" s="5">
        <v>94</v>
      </c>
      <c r="I34" s="5">
        <v>61</v>
      </c>
      <c r="J34" s="5">
        <v>46</v>
      </c>
      <c r="K34" s="5">
        <v>44</v>
      </c>
      <c r="L34" s="5">
        <v>32</v>
      </c>
      <c r="M34" s="5">
        <v>27</v>
      </c>
      <c r="N34" s="5">
        <v>87</v>
      </c>
      <c r="O34" s="5">
        <v>43</v>
      </c>
      <c r="P34" s="5">
        <v>34</v>
      </c>
      <c r="Q34" s="5">
        <v>34</v>
      </c>
      <c r="R34" s="5">
        <v>67</v>
      </c>
      <c r="S34" s="5">
        <v>51</v>
      </c>
      <c r="T34" s="5">
        <v>29</v>
      </c>
      <c r="U34" s="5">
        <v>14</v>
      </c>
      <c r="V34" s="5">
        <v>12</v>
      </c>
      <c r="W34" s="5">
        <v>12</v>
      </c>
      <c r="X34" s="5">
        <v>4</v>
      </c>
      <c r="Y34" s="5"/>
      <c r="Z34" s="5"/>
      <c r="AA34" s="5">
        <v>1</v>
      </c>
    </row>
    <row r="35" spans="1:27">
      <c r="A35" s="5"/>
      <c r="B35" s="34" t="s">
        <v>4</v>
      </c>
      <c r="C35" s="8" t="s">
        <v>100</v>
      </c>
      <c r="D35" s="5">
        <v>1</v>
      </c>
      <c r="E35" s="5">
        <v>25</v>
      </c>
      <c r="F35" s="5">
        <v>10</v>
      </c>
      <c r="G35" s="5">
        <v>24</v>
      </c>
      <c r="H35" s="5">
        <v>9</v>
      </c>
      <c r="I35" s="5">
        <v>10</v>
      </c>
      <c r="J35" s="5">
        <v>22</v>
      </c>
      <c r="K35" s="5">
        <v>35</v>
      </c>
      <c r="L35" s="5">
        <v>16</v>
      </c>
      <c r="M35" s="5">
        <v>33</v>
      </c>
      <c r="N35" s="5">
        <v>8</v>
      </c>
      <c r="O35" s="5">
        <v>30</v>
      </c>
      <c r="P35" s="5">
        <v>31</v>
      </c>
      <c r="Q35" s="5">
        <v>24</v>
      </c>
      <c r="R35" s="5">
        <v>9</v>
      </c>
      <c r="S35" s="5">
        <v>13</v>
      </c>
      <c r="T35" s="5">
        <v>10</v>
      </c>
      <c r="U35" s="5">
        <v>16</v>
      </c>
      <c r="V35" s="5">
        <v>13</v>
      </c>
      <c r="W35" s="5">
        <v>8</v>
      </c>
      <c r="X35" s="5">
        <v>1</v>
      </c>
      <c r="Y35" s="5"/>
      <c r="Z35" s="5"/>
      <c r="AA35" s="5"/>
    </row>
    <row r="36" spans="1:27">
      <c r="A36" s="5"/>
      <c r="B36" s="34" t="s">
        <v>4</v>
      </c>
      <c r="C36" s="8" t="s">
        <v>101</v>
      </c>
      <c r="D36" s="5">
        <v>9</v>
      </c>
      <c r="E36" s="5">
        <v>19</v>
      </c>
      <c r="F36" s="5">
        <v>13</v>
      </c>
      <c r="G36" s="5"/>
      <c r="H36" s="5">
        <v>2</v>
      </c>
      <c r="I36" s="5">
        <v>3</v>
      </c>
      <c r="J36" s="5"/>
      <c r="K36" s="5">
        <v>2</v>
      </c>
      <c r="L36" s="5"/>
      <c r="M36" s="5">
        <v>2</v>
      </c>
      <c r="N36" s="5"/>
      <c r="O36" s="5"/>
      <c r="P36" s="5">
        <v>1</v>
      </c>
      <c r="Q36" s="5"/>
      <c r="R36" s="5"/>
      <c r="S36" s="5"/>
      <c r="T36" s="5"/>
      <c r="U36" s="5">
        <v>1</v>
      </c>
      <c r="V36" s="5"/>
      <c r="W36" s="5"/>
      <c r="X36" s="5">
        <v>2</v>
      </c>
      <c r="Y36" s="5">
        <v>2</v>
      </c>
      <c r="Z36" s="5"/>
      <c r="AA36" s="5">
        <v>2</v>
      </c>
    </row>
    <row r="37" spans="1:27">
      <c r="A37" s="35"/>
      <c r="B37" s="35"/>
      <c r="C37" s="35"/>
      <c r="D37" s="36">
        <f t="shared" ref="D37:Z37" si="0">SUM(D3:D36)</f>
        <v>200</v>
      </c>
      <c r="E37" s="36">
        <f t="shared" si="0"/>
        <v>200</v>
      </c>
      <c r="F37" s="36">
        <f t="shared" si="0"/>
        <v>200</v>
      </c>
      <c r="G37" s="36">
        <f t="shared" si="0"/>
        <v>200</v>
      </c>
      <c r="H37" s="36">
        <f t="shared" si="0"/>
        <v>200</v>
      </c>
      <c r="I37" s="36">
        <f t="shared" si="0"/>
        <v>200</v>
      </c>
      <c r="J37" s="36">
        <f t="shared" si="0"/>
        <v>200</v>
      </c>
      <c r="K37" s="36">
        <f t="shared" si="0"/>
        <v>200</v>
      </c>
      <c r="L37" s="36">
        <f t="shared" si="0"/>
        <v>200</v>
      </c>
      <c r="M37" s="36">
        <f t="shared" si="0"/>
        <v>200</v>
      </c>
      <c r="N37" s="36">
        <f t="shared" si="0"/>
        <v>200</v>
      </c>
      <c r="O37" s="36">
        <f t="shared" si="0"/>
        <v>200</v>
      </c>
      <c r="P37" s="36">
        <f t="shared" si="0"/>
        <v>200</v>
      </c>
      <c r="Q37" s="36">
        <f t="shared" si="0"/>
        <v>200</v>
      </c>
      <c r="R37" s="36">
        <f t="shared" si="0"/>
        <v>200</v>
      </c>
      <c r="S37" s="36">
        <f t="shared" si="0"/>
        <v>200</v>
      </c>
      <c r="T37" s="36">
        <f t="shared" si="0"/>
        <v>200</v>
      </c>
      <c r="U37" s="36">
        <f t="shared" si="0"/>
        <v>200</v>
      </c>
      <c r="V37" s="36">
        <f t="shared" si="0"/>
        <v>200</v>
      </c>
      <c r="W37" s="36">
        <f t="shared" si="0"/>
        <v>200</v>
      </c>
      <c r="X37" s="36">
        <f t="shared" si="0"/>
        <v>200</v>
      </c>
      <c r="Y37" s="36">
        <f t="shared" si="0"/>
        <v>176</v>
      </c>
      <c r="Z37" s="36">
        <f t="shared" si="0"/>
        <v>57</v>
      </c>
      <c r="AA37" s="36">
        <f t="shared" ref="AA37" si="1">SUM(AA3:AA36)</f>
        <v>139</v>
      </c>
    </row>
  </sheetData>
  <mergeCells count="10">
    <mergeCell ref="A20:A22"/>
    <mergeCell ref="A23:A26"/>
    <mergeCell ref="A27:A30"/>
    <mergeCell ref="A32:A34"/>
    <mergeCell ref="A1:C1"/>
    <mergeCell ref="A2:B2"/>
    <mergeCell ref="A4:A6"/>
    <mergeCell ref="A7:A10"/>
    <mergeCell ref="A11:A13"/>
    <mergeCell ref="A17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16" workbookViewId="0">
      <selection activeCell="E14" sqref="E14"/>
    </sheetView>
  </sheetViews>
  <sheetFormatPr baseColWidth="10" defaultRowHeight="15"/>
  <sheetData>
    <row r="1" spans="1:12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9</v>
      </c>
      <c r="D2">
        <v>53</v>
      </c>
      <c r="E2">
        <v>5.5</v>
      </c>
      <c r="F2">
        <v>5</v>
      </c>
      <c r="G2">
        <v>4</v>
      </c>
      <c r="H2">
        <v>3</v>
      </c>
      <c r="I2">
        <v>2</v>
      </c>
      <c r="J2">
        <v>0</v>
      </c>
      <c r="K2">
        <v>27.5</v>
      </c>
      <c r="L2">
        <v>0</v>
      </c>
    </row>
    <row r="3" spans="1:12">
      <c r="A3">
        <v>13</v>
      </c>
      <c r="D3">
        <v>52.5</v>
      </c>
      <c r="E3">
        <v>10</v>
      </c>
      <c r="F3">
        <v>22</v>
      </c>
      <c r="G3">
        <v>4</v>
      </c>
      <c r="H3">
        <v>3</v>
      </c>
      <c r="I3">
        <v>2</v>
      </c>
      <c r="J3">
        <v>0</v>
      </c>
      <c r="K3">
        <v>6.5</v>
      </c>
      <c r="L3">
        <v>0</v>
      </c>
    </row>
    <row r="4" spans="1:12">
      <c r="A4">
        <v>25</v>
      </c>
      <c r="D4">
        <v>52.5</v>
      </c>
      <c r="E4">
        <v>0.5</v>
      </c>
      <c r="F4">
        <v>11.5</v>
      </c>
      <c r="G4">
        <v>1.5</v>
      </c>
      <c r="H4">
        <v>2</v>
      </c>
      <c r="I4">
        <v>0.5</v>
      </c>
      <c r="J4">
        <v>0</v>
      </c>
      <c r="K4">
        <v>31.5</v>
      </c>
      <c r="L4">
        <v>0</v>
      </c>
    </row>
    <row r="5" spans="1:12">
      <c r="A5">
        <v>33</v>
      </c>
      <c r="D5">
        <v>41</v>
      </c>
      <c r="E5">
        <v>2.5</v>
      </c>
      <c r="F5">
        <v>12</v>
      </c>
      <c r="G5">
        <v>2.5</v>
      </c>
      <c r="H5">
        <v>5.5</v>
      </c>
      <c r="I5">
        <v>0</v>
      </c>
      <c r="J5">
        <v>0</v>
      </c>
      <c r="K5">
        <v>36.5</v>
      </c>
      <c r="L5">
        <v>0</v>
      </c>
    </row>
    <row r="6" spans="1:12">
      <c r="A6">
        <v>43</v>
      </c>
      <c r="C6">
        <v>6471</v>
      </c>
      <c r="D6">
        <v>33.5</v>
      </c>
      <c r="E6">
        <v>2.5</v>
      </c>
      <c r="F6">
        <v>5.5</v>
      </c>
      <c r="G6">
        <v>4</v>
      </c>
      <c r="H6">
        <v>3</v>
      </c>
      <c r="I6">
        <v>0.5</v>
      </c>
      <c r="J6">
        <v>0</v>
      </c>
      <c r="K6">
        <v>49.5</v>
      </c>
      <c r="L6">
        <v>1.5</v>
      </c>
    </row>
    <row r="7" spans="1:12">
      <c r="A7">
        <v>58</v>
      </c>
      <c r="C7">
        <v>7514</v>
      </c>
      <c r="D7">
        <v>48.5</v>
      </c>
      <c r="E7">
        <v>1.5</v>
      </c>
      <c r="F7">
        <v>6.5</v>
      </c>
      <c r="G7">
        <v>8</v>
      </c>
      <c r="H7">
        <v>1</v>
      </c>
      <c r="I7">
        <v>0</v>
      </c>
      <c r="J7">
        <v>0</v>
      </c>
      <c r="K7">
        <v>33</v>
      </c>
      <c r="L7">
        <v>1.5</v>
      </c>
    </row>
    <row r="8" spans="1:12">
      <c r="A8">
        <v>66</v>
      </c>
      <c r="C8">
        <v>7977</v>
      </c>
      <c r="D8">
        <v>54.5</v>
      </c>
      <c r="E8">
        <v>1.5</v>
      </c>
      <c r="F8">
        <v>11</v>
      </c>
      <c r="G8">
        <v>6</v>
      </c>
      <c r="H8">
        <v>2</v>
      </c>
      <c r="I8">
        <v>0</v>
      </c>
      <c r="J8">
        <v>0</v>
      </c>
      <c r="K8">
        <v>24.5</v>
      </c>
      <c r="L8">
        <v>0.5</v>
      </c>
    </row>
    <row r="9" spans="1:12">
      <c r="A9">
        <v>78</v>
      </c>
      <c r="C9">
        <v>8483</v>
      </c>
      <c r="D9">
        <v>36.5</v>
      </c>
      <c r="E9">
        <v>7.5</v>
      </c>
      <c r="F9">
        <v>18.5</v>
      </c>
      <c r="G9">
        <v>10.5</v>
      </c>
      <c r="H9">
        <v>4</v>
      </c>
      <c r="I9">
        <v>0</v>
      </c>
      <c r="J9">
        <v>0</v>
      </c>
      <c r="K9">
        <v>23</v>
      </c>
      <c r="L9">
        <v>0</v>
      </c>
    </row>
    <row r="10" spans="1:12">
      <c r="A10">
        <v>86</v>
      </c>
      <c r="C10">
        <v>8812</v>
      </c>
      <c r="D10">
        <v>41.5</v>
      </c>
      <c r="E10">
        <v>11</v>
      </c>
      <c r="F10">
        <v>8</v>
      </c>
      <c r="G10">
        <v>9</v>
      </c>
      <c r="H10">
        <v>5</v>
      </c>
      <c r="I10">
        <v>2</v>
      </c>
      <c r="J10">
        <v>0</v>
      </c>
      <c r="K10">
        <v>20.5</v>
      </c>
      <c r="L10">
        <v>3</v>
      </c>
    </row>
    <row r="11" spans="1:12">
      <c r="A11">
        <v>98</v>
      </c>
      <c r="C11">
        <v>9298</v>
      </c>
      <c r="D11">
        <v>37.5</v>
      </c>
      <c r="E11">
        <v>6.5</v>
      </c>
      <c r="F11">
        <v>17.5</v>
      </c>
      <c r="G11">
        <v>7</v>
      </c>
      <c r="H11">
        <v>15.5</v>
      </c>
      <c r="I11">
        <v>1</v>
      </c>
      <c r="J11">
        <v>0</v>
      </c>
      <c r="K11">
        <v>14.5</v>
      </c>
      <c r="L11">
        <v>0.5</v>
      </c>
    </row>
    <row r="12" spans="1:12">
      <c r="A12">
        <v>106</v>
      </c>
      <c r="C12">
        <v>9604</v>
      </c>
      <c r="D12">
        <v>28</v>
      </c>
      <c r="E12">
        <v>4</v>
      </c>
      <c r="F12">
        <v>4</v>
      </c>
      <c r="G12">
        <v>8.5</v>
      </c>
      <c r="H12">
        <v>7</v>
      </c>
      <c r="I12">
        <v>0.5</v>
      </c>
      <c r="J12">
        <v>0</v>
      </c>
      <c r="K12">
        <v>46.5</v>
      </c>
      <c r="L12">
        <v>1.5</v>
      </c>
    </row>
    <row r="13" spans="1:12">
      <c r="A13">
        <v>122</v>
      </c>
      <c r="C13">
        <v>10144</v>
      </c>
      <c r="D13">
        <v>28.5</v>
      </c>
      <c r="E13">
        <v>11.5</v>
      </c>
      <c r="F13">
        <v>15</v>
      </c>
      <c r="G13">
        <v>12</v>
      </c>
      <c r="H13">
        <v>7</v>
      </c>
      <c r="I13">
        <v>3.5</v>
      </c>
      <c r="J13">
        <v>0</v>
      </c>
      <c r="K13">
        <v>21.5</v>
      </c>
      <c r="L13">
        <v>1</v>
      </c>
    </row>
    <row r="14" spans="1:12">
      <c r="A14">
        <v>130</v>
      </c>
      <c r="C14">
        <v>10404</v>
      </c>
      <c r="D14">
        <v>38</v>
      </c>
      <c r="E14">
        <v>3</v>
      </c>
      <c r="F14">
        <v>16</v>
      </c>
      <c r="G14">
        <v>13.5</v>
      </c>
      <c r="H14">
        <v>12</v>
      </c>
      <c r="I14">
        <v>0.5</v>
      </c>
      <c r="J14">
        <v>0</v>
      </c>
      <c r="K14">
        <v>17</v>
      </c>
      <c r="L14">
        <v>0</v>
      </c>
    </row>
    <row r="15" spans="1:12">
      <c r="A15">
        <v>138</v>
      </c>
      <c r="C15">
        <v>10670</v>
      </c>
      <c r="D15">
        <v>52</v>
      </c>
      <c r="E15">
        <v>2</v>
      </c>
      <c r="F15">
        <v>12</v>
      </c>
      <c r="G15">
        <v>3.5</v>
      </c>
      <c r="H15">
        <v>10</v>
      </c>
      <c r="I15">
        <v>3</v>
      </c>
      <c r="J15">
        <v>0</v>
      </c>
      <c r="K15">
        <v>17.5</v>
      </c>
      <c r="L15">
        <v>0</v>
      </c>
    </row>
    <row r="16" spans="1:12">
      <c r="A16">
        <v>142</v>
      </c>
      <c r="C16">
        <v>10804</v>
      </c>
      <c r="D16">
        <v>40</v>
      </c>
      <c r="E16">
        <v>1</v>
      </c>
      <c r="F16">
        <v>4.5</v>
      </c>
      <c r="G16">
        <v>5</v>
      </c>
      <c r="H16">
        <v>2.5</v>
      </c>
      <c r="I16">
        <v>13.5</v>
      </c>
      <c r="J16">
        <v>0</v>
      </c>
      <c r="K16">
        <v>33.5</v>
      </c>
      <c r="L16">
        <v>0</v>
      </c>
    </row>
    <row r="17" spans="1:12">
      <c r="A17">
        <v>150</v>
      </c>
      <c r="C17">
        <v>11147</v>
      </c>
      <c r="D17">
        <v>21</v>
      </c>
      <c r="E17">
        <v>9</v>
      </c>
      <c r="F17">
        <v>6.5</v>
      </c>
      <c r="G17">
        <v>13</v>
      </c>
      <c r="H17">
        <v>10.5</v>
      </c>
      <c r="I17">
        <v>13</v>
      </c>
      <c r="J17">
        <v>0</v>
      </c>
      <c r="K17">
        <v>25.5</v>
      </c>
      <c r="L17">
        <v>1.5</v>
      </c>
    </row>
    <row r="18" spans="1:12">
      <c r="A18">
        <v>158</v>
      </c>
      <c r="C18">
        <v>11923</v>
      </c>
      <c r="D18">
        <v>34</v>
      </c>
      <c r="E18">
        <v>10.5</v>
      </c>
      <c r="F18">
        <v>5</v>
      </c>
      <c r="G18">
        <v>19</v>
      </c>
      <c r="H18">
        <v>12</v>
      </c>
      <c r="I18">
        <v>2</v>
      </c>
      <c r="J18">
        <v>0</v>
      </c>
      <c r="K18">
        <v>16</v>
      </c>
      <c r="L18">
        <v>1.5</v>
      </c>
    </row>
    <row r="19" spans="1:12">
      <c r="A19">
        <v>162</v>
      </c>
      <c r="C19">
        <v>12291</v>
      </c>
      <c r="D19">
        <v>31.5</v>
      </c>
      <c r="E19">
        <v>17</v>
      </c>
      <c r="F19">
        <v>8.5</v>
      </c>
      <c r="G19">
        <v>18</v>
      </c>
      <c r="H19">
        <v>13.5</v>
      </c>
      <c r="I19">
        <v>1</v>
      </c>
      <c r="J19">
        <v>0</v>
      </c>
      <c r="K19">
        <v>9</v>
      </c>
      <c r="L19">
        <v>1.5</v>
      </c>
    </row>
    <row r="20" spans="1:12">
      <c r="A20">
        <v>170</v>
      </c>
      <c r="C20">
        <v>12555</v>
      </c>
      <c r="D20">
        <v>79.5</v>
      </c>
      <c r="E20">
        <v>2.5</v>
      </c>
      <c r="F20">
        <v>6.5</v>
      </c>
      <c r="G20">
        <v>3</v>
      </c>
      <c r="H20">
        <v>2.5</v>
      </c>
      <c r="I20">
        <v>0</v>
      </c>
      <c r="J20">
        <v>0</v>
      </c>
      <c r="K20">
        <v>6</v>
      </c>
      <c r="L20">
        <v>0</v>
      </c>
    </row>
    <row r="21" spans="1:12">
      <c r="A21">
        <v>178</v>
      </c>
      <c r="C21">
        <v>12703</v>
      </c>
      <c r="D21">
        <v>74</v>
      </c>
      <c r="E21">
        <v>3</v>
      </c>
      <c r="F21">
        <v>4</v>
      </c>
      <c r="G21">
        <v>8</v>
      </c>
      <c r="H21">
        <v>5</v>
      </c>
      <c r="I21">
        <v>0</v>
      </c>
      <c r="J21">
        <v>0</v>
      </c>
      <c r="K21">
        <v>6</v>
      </c>
      <c r="L21">
        <v>0</v>
      </c>
    </row>
    <row r="22" spans="1:12">
      <c r="A22">
        <v>202</v>
      </c>
      <c r="C22">
        <v>13275</v>
      </c>
      <c r="D22">
        <v>36.5</v>
      </c>
      <c r="E22">
        <v>12.5</v>
      </c>
      <c r="F22">
        <v>1.5</v>
      </c>
      <c r="G22">
        <v>18</v>
      </c>
      <c r="H22">
        <v>10.5</v>
      </c>
      <c r="I22">
        <v>0</v>
      </c>
      <c r="J22">
        <v>17</v>
      </c>
      <c r="K22">
        <v>4</v>
      </c>
      <c r="L22">
        <v>0</v>
      </c>
    </row>
    <row r="23" spans="1:12">
      <c r="A23">
        <v>230</v>
      </c>
      <c r="C23">
        <v>16090</v>
      </c>
      <c r="D23">
        <v>16.477272727272727</v>
      </c>
      <c r="E23">
        <v>16.477272727272727</v>
      </c>
      <c r="F23">
        <v>1.1363636363636365</v>
      </c>
      <c r="G23">
        <v>31.818181818181817</v>
      </c>
      <c r="H23">
        <v>18.181818181818183</v>
      </c>
      <c r="I23">
        <v>13.636363636363637</v>
      </c>
      <c r="J23">
        <v>0.56818181818181823</v>
      </c>
      <c r="K23">
        <v>1.7045454545454546</v>
      </c>
      <c r="L23">
        <v>0</v>
      </c>
    </row>
    <row r="24" spans="1:12">
      <c r="A24">
        <v>254</v>
      </c>
      <c r="C24">
        <v>19397</v>
      </c>
      <c r="D24">
        <v>94.736842105263165</v>
      </c>
      <c r="E24">
        <v>1.7543859649122806</v>
      </c>
      <c r="F24">
        <v>0</v>
      </c>
      <c r="G24">
        <v>1.7543859649122806</v>
      </c>
      <c r="H24">
        <v>1.7543859649122806</v>
      </c>
      <c r="I24">
        <v>0</v>
      </c>
      <c r="J24">
        <v>0</v>
      </c>
      <c r="K24">
        <v>0</v>
      </c>
      <c r="L24">
        <v>0</v>
      </c>
    </row>
    <row r="25" spans="1:12">
      <c r="A25">
        <v>266</v>
      </c>
      <c r="C25">
        <v>19971</v>
      </c>
      <c r="D25">
        <v>88.489208633093526</v>
      </c>
      <c r="E25">
        <v>2.8776978417266186</v>
      </c>
      <c r="F25">
        <v>1.4388489208633093</v>
      </c>
      <c r="G25">
        <v>4.3165467625899279</v>
      </c>
      <c r="H25">
        <v>2.1582733812949639</v>
      </c>
      <c r="I25">
        <v>0</v>
      </c>
      <c r="J25">
        <v>0</v>
      </c>
      <c r="K25">
        <v>0.71942446043165464</v>
      </c>
      <c r="L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Frecuencias_Familias</vt:lpstr>
      <vt:lpstr>Datos brutos_Frec morfotipo</vt:lpstr>
      <vt:lpstr>Porcentaje_Familias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2023-03-01T01:54:51Z</dcterms:created>
  <dcterms:modified xsi:type="dcterms:W3CDTF">2023-03-01T02:02:01Z</dcterms:modified>
</cp:coreProperties>
</file>